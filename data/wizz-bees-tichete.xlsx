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ichete" sheetId="1" state="visible" r:id="rId3"/>
    <sheet name="Release-uri" sheetId="2" state="visible" r:id="rId4"/>
    <sheet name="Sumar" sheetId="3" state="visible" r:id="rId5"/>
    <sheet name="Legendă" sheetId="4" state="visible" r:id="rId6"/>
    <sheet name="Date de test" sheetId="5" state="visible" r:id="rId7"/>
  </sheets>
  <definedNames>
    <definedName function="false" hidden="true" localSheetId="0" name="_xlnm._FilterDatabase" vbProcedure="false">Tichete!$A$1:$S$47</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P1" authorId="0">
      <text>
        <r>
          <rPr>
            <sz val="10"/>
            <rFont val="Arial"/>
            <family val="2"/>
          </rPr>
          <t xml:space="preserve">Calculat: Data livrării fix-ului − Data deschiderii. Gol dacă nu există fix.</t>
        </r>
      </text>
    </comment>
    <comment ref="S1" authorId="0">
      <text>
        <r>
          <rPr>
            <sz val="10"/>
            <rFont val="Arial"/>
            <family val="2"/>
          </rPr>
          <t xml:space="preserve">Expresii în engleză pe care aplicația de reviews le poate căuta în recenziile publice pentru a verifica dacă problema mai apare după data fix-ului.</t>
        </r>
      </text>
    </comment>
  </commentList>
</comments>
</file>

<file path=xl/sharedStrings.xml><?xml version="1.0" encoding="utf-8"?>
<sst xmlns="http://schemas.openxmlformats.org/spreadsheetml/2006/main" count="712" uniqueCount="288">
  <si>
    <t xml:space="preserve">ID tichet</t>
  </si>
  <si>
    <t xml:space="preserve">Data deschiderii</t>
  </si>
  <si>
    <t xml:space="preserve">Canal</t>
  </si>
  <si>
    <t xml:space="preserve">Categorie</t>
  </si>
  <si>
    <t xml:space="preserve">Funcționalitate</t>
  </si>
  <si>
    <t xml:space="preserve">Titlu</t>
  </si>
  <si>
    <t xml:space="preserve">Descriere</t>
  </si>
  <si>
    <t xml:space="preserve">Pași de verificare</t>
  </si>
  <si>
    <t xml:space="preserve">Severitate</t>
  </si>
  <si>
    <t xml:space="preserve">Nr. raportări clienți</t>
  </si>
  <si>
    <t xml:space="preserve">Versiune raportată</t>
  </si>
  <si>
    <t xml:space="preserve">Status</t>
  </si>
  <si>
    <t xml:space="preserve">Versiune fix</t>
  </si>
  <si>
    <t xml:space="preserve">Data livrării fix-ului</t>
  </si>
  <si>
    <t xml:space="preserve">Data închiderii</t>
  </si>
  <si>
    <t xml:space="preserve">Zile până la fix</t>
  </si>
  <si>
    <t xml:space="preserve">Echipă responsabilă</t>
  </si>
  <si>
    <t xml:space="preserve">Tichet legat</t>
  </si>
  <si>
    <t xml:space="preserve">Cuvinte cheie recenzii (EN)</t>
  </si>
  <si>
    <t xml:space="preserve">WB-1001</t>
  </si>
  <si>
    <t xml:space="preserve">Web</t>
  </si>
  <si>
    <t xml:space="preserve">Notificări</t>
  </si>
  <si>
    <t xml:space="preserve">Status zbor</t>
  </si>
  <si>
    <t xml:space="preserve">Pagina „Status zbor” afișează poarta veche după schimbarea porții</t>
  </si>
  <si>
    <t xml:space="preserve">După schimbarea porții, pagina „Status zbor” afișează în continuare poarta veche. Clienții merg la poarta greșită.</t>
  </si>
  <si>
    <t xml:space="preserve">Mare</t>
  </si>
  <si>
    <t xml:space="preserve">3.0.0</t>
  </si>
  <si>
    <t xml:space="preserve">Rezolvat – fix livrat</t>
  </si>
  <si>
    <t xml:space="preserve">3.1.0</t>
  </si>
  <si>
    <t xml:space="preserve">Echipa Mobile</t>
  </si>
  <si>
    <t xml:space="preserve">wrong gate shown; gate change not updated; flight status shows old gate</t>
  </si>
  <si>
    <t xml:space="preserve">WB-1002</t>
  </si>
  <si>
    <t xml:space="preserve">Rambursări</t>
  </si>
  <si>
    <t xml:space="preserve">BeeCredit</t>
  </si>
  <si>
    <t xml:space="preserve">Rambursarea se face automat în BeeCredit în loc de card</t>
  </si>
  <si>
    <t xml:space="preserve">Opțiunea implicită de rambursare este creditul în cont, iar clientul nu poate alege cardul.</t>
  </si>
  <si>
    <t xml:space="preserve">3.3.0</t>
  </si>
  <si>
    <t xml:space="preserve">Echipa Rambursări</t>
  </si>
  <si>
    <t xml:space="preserve">refund as credit only; forced voucher; wizz credit instead of refund</t>
  </si>
  <si>
    <t xml:space="preserve">WB-1003</t>
  </si>
  <si>
    <t xml:space="preserve">Check-in</t>
  </si>
  <si>
    <t xml:space="preserve">Boarding pass</t>
  </si>
  <si>
    <t xml:space="preserve">Butonul „Descarcă boarding pass” nu face nimic</t>
  </si>
  <si>
    <t xml:space="preserve">În pagina rezervării, butonul „Descarcă boarding pass” nu descarcă PDF-ul și nu afișează nicio eroare.</t>
  </si>
  <si>
    <t xml:space="preserve">boarding pass download not working; can't download boarding pass; boarding pass button does nothing</t>
  </si>
  <si>
    <t xml:space="preserve">WB-1004</t>
  </si>
  <si>
    <t xml:space="preserve">În lucru</t>
  </si>
  <si>
    <t xml:space="preserve">WB-1005</t>
  </si>
  <si>
    <t xml:space="preserve">Email</t>
  </si>
  <si>
    <t xml:space="preserve">Cont</t>
  </si>
  <si>
    <t xml:space="preserve">Profil</t>
  </si>
  <si>
    <t xml:space="preserve">Modificarea numelui pe bilet cere taxă chiar și pentru o greșeală de tastare</t>
  </si>
  <si>
    <t xml:space="preserve">Corectarea unei litere din nume este taxată ca schimbare completă de nume.</t>
  </si>
  <si>
    <t xml:space="preserve">Medie</t>
  </si>
  <si>
    <t xml:space="preserve">3.2.0</t>
  </si>
  <si>
    <t xml:space="preserve">Echipa Rezervări</t>
  </si>
  <si>
    <t xml:space="preserve">name change fee; typo in name charged; correct name on ticket</t>
  </si>
  <si>
    <t xml:space="preserve">WB-1006</t>
  </si>
  <si>
    <t xml:space="preserve">3.5.0</t>
  </si>
  <si>
    <t xml:space="preserve">WB-1007</t>
  </si>
  <si>
    <t xml:space="preserve">WB-1008</t>
  </si>
  <si>
    <t xml:space="preserve">Bagaje</t>
  </si>
  <si>
    <t xml:space="preserve">Adăugare bagaj</t>
  </si>
  <si>
    <t xml:space="preserve">Prețul bagajului de cală crește la plată</t>
  </si>
  <si>
    <t xml:space="preserve">Prețul bagajului de cală afișat la alegerea bagajului e mai mic decât cel încasat la pasul de plată.</t>
  </si>
  <si>
    <t xml:space="preserve">1. Pe pagina principală caută zboruri București (OTP) → Barcelona (BCN), data 2026-11-13, 1 pasager.
2. Alege zborul WB 541 și completează numele pasagerului.
3. La „Bagaje și extra” alege „Bagaj de cală 20 kg” și notează prețul afișat (189 lei).
4. Mergi până la pasul „Plată”.
Rezultat așteptat: în tabelul de plată, rândul „Bagaj de cală 20 kg” are același preț ca la alegerea bagajului (189 lei).</t>
  </si>
  <si>
    <t xml:space="preserve">3.6.0</t>
  </si>
  <si>
    <t xml:space="preserve">Echipa Ancillaries</t>
  </si>
  <si>
    <t xml:space="preserve">baggage price after booking; checked bag expensive; luggage fee increase</t>
  </si>
  <si>
    <t xml:space="preserve">WB-1009</t>
  </si>
  <si>
    <t xml:space="preserve">Plăți</t>
  </si>
  <si>
    <t xml:space="preserve">Plată card</t>
  </si>
  <si>
    <t xml:space="preserve">Plata e respinsă, dar suma e blocată pe card</t>
  </si>
  <si>
    <t xml:space="preserve">Clientul vede „Plată eșuată”, dar rezervarea apare totuși în „Călătoriile mele”. Clientul reîncearcă și ajunge să plătească de două ori.</t>
  </si>
  <si>
    <t xml:space="preserve">Critică</t>
  </si>
  <si>
    <t xml:space="preserve">3.4.0</t>
  </si>
  <si>
    <t xml:space="preserve">Echipa Plăți</t>
  </si>
  <si>
    <t xml:space="preserve">payment failed but charged; double charged; money taken booking failed</t>
  </si>
  <si>
    <t xml:space="preserve">WB-1010</t>
  </si>
  <si>
    <t xml:space="preserve">Rețele sociale</t>
  </si>
  <si>
    <t xml:space="preserve">Conversie valutară</t>
  </si>
  <si>
    <t xml:space="preserve">Prețul în RON diferă între căutare și plată</t>
  </si>
  <si>
    <t xml:space="preserve">Tariful afișat la căutare este în RON, dar la plată apare o sumă mai mare, din cauza unui curs de schimb vechi.</t>
  </si>
  <si>
    <t xml:space="preserve">price changed at checkout; currency conversion wrong; hidden fees checkout</t>
  </si>
  <si>
    <t xml:space="preserve">WB-1011</t>
  </si>
  <si>
    <t xml:space="preserve">Call center</t>
  </si>
  <si>
    <t xml:space="preserve">Rezervare</t>
  </si>
  <si>
    <t xml:space="preserve">Priority</t>
  </si>
  <si>
    <t xml:space="preserve">Priority Boarding nu apare pe boarding pass după upgrade</t>
  </si>
  <si>
    <t xml:space="preserve">Clientul cumpără Priority după rezervare, dar boarding pass-ul nu se actualizează și e oprit la poartă.</t>
  </si>
  <si>
    <t xml:space="preserve">priority boarding not on boarding pass; paid priority refused; priority not showing</t>
  </si>
  <si>
    <t xml:space="preserve">WB-1012</t>
  </si>
  <si>
    <t xml:space="preserve">Dimensiuni bagaj</t>
  </si>
  <si>
    <t xml:space="preserve">Ghidul de dimensiuni pentru bagajul de mână e neclar</t>
  </si>
  <si>
    <t xml:space="preserve">Pagina de bagaje nu arată clar diferența dintre geanta mică gratuită și trolerul de 10 kg. Clienții plătesc taxe la poartă.</t>
  </si>
  <si>
    <t xml:space="preserve">Mică</t>
  </si>
  <si>
    <t xml:space="preserve">Închis – nu se reproduce</t>
  </si>
  <si>
    <t xml:space="preserve">Echipa Conținut</t>
  </si>
  <si>
    <t xml:space="preserve">cabin bag size; carry-on fee at gate; hand luggage charged gate</t>
  </si>
  <si>
    <t xml:space="preserve">WB-1013</t>
  </si>
  <si>
    <t xml:space="preserve">Selecție locuri</t>
  </si>
  <si>
    <t xml:space="preserve">Harta de locuri nu se încarcă pentru zborurile cu A321neo</t>
  </si>
  <si>
    <t xml:space="preserve">La aeronavele A321neo harta rămâne goală și clientul nu poate alege loc.</t>
  </si>
  <si>
    <t xml:space="preserve">seat map not loading; can't select seat; seat selection error</t>
  </si>
  <si>
    <t xml:space="preserve">WB-1014</t>
  </si>
  <si>
    <t xml:space="preserve">Aplicație</t>
  </si>
  <si>
    <t xml:space="preserve">Călătoriile mele</t>
  </si>
  <si>
    <t xml:space="preserve">Pagina rezervării rămâne albă la deschiderea din „Călătoriile mele”</t>
  </si>
  <si>
    <t xml:space="preserve">Când clientul deschide o rezervare din „Călătoriile mele”, pagina rămâne albă și detaliile zborului nu se încarcă.</t>
  </si>
  <si>
    <t xml:space="preserve">3.7.0</t>
  </si>
  <si>
    <t xml:space="preserve">booking page blank; my trips not loading; white screen booking</t>
  </si>
  <si>
    <t xml:space="preserve">WB-1015</t>
  </si>
  <si>
    <t xml:space="preserve">Căutare zboruri</t>
  </si>
  <si>
    <t xml:space="preserve">Căutarea flexibilă afișează zboruri anulate</t>
  </si>
  <si>
    <t xml:space="preserve">Calendarul de tarife arată prețuri pentru zboruri deja anulate din orar.</t>
  </si>
  <si>
    <t xml:space="preserve">flight cancelled after booking; booked cancelled flight; search shows cancelled</t>
  </si>
  <si>
    <t xml:space="preserve">WB-1016</t>
  </si>
  <si>
    <t xml:space="preserve">1. Pe pagina principală caută zboruri București (OTP) → Barcelona (BCN), data 2026-11-13, 1 pasager.
2. Alege zborul WB 541 (A321neo).
3. Completează numele pasagerului, apasă „Continuă” până la pasul „Locuri”.
Rezultat așteptat: harta locurilor se afișează și un loc poate fi selectat; nu rămâne blocată la „Se încarcă harta locurilor…”.</t>
  </si>
  <si>
    <t xml:space="preserve">3.8.0</t>
  </si>
  <si>
    <t xml:space="preserve">WB-1017</t>
  </si>
  <si>
    <t xml:space="preserve">Familiile sunt așezate separat deși au plătit locuri</t>
  </si>
  <si>
    <t xml:space="preserve">Locurile alese pentru copii sunt reatribuite la check-in, iar copiii ajung separați de părinți.</t>
  </si>
  <si>
    <t xml:space="preserve">family seated apart; kids separated from parents; paid seats changed</t>
  </si>
  <si>
    <t xml:space="preserve">WB-1018</t>
  </si>
  <si>
    <t xml:space="preserve">Întârzieri</t>
  </si>
  <si>
    <t xml:space="preserve">Avertizarea de întârziere nu apare la zborurile întârziate peste 3 ore</t>
  </si>
  <si>
    <t xml:space="preserve">În pagina rezervării nu apare avertizarea de întârziere și nici link-ul pentru cererea de compensație, deși zborul are peste 3 ore întârziere.</t>
  </si>
  <si>
    <t xml:space="preserve">Echipa Operațiuni Digitale</t>
  </si>
  <si>
    <t xml:space="preserve">no delay notice; delay not shown; compensation link missing</t>
  </si>
  <si>
    <t xml:space="preserve">WB-1019</t>
  </si>
  <si>
    <t xml:space="preserve">Asistență specială</t>
  </si>
  <si>
    <t xml:space="preserve">PRM</t>
  </si>
  <si>
    <t xml:space="preserve">Cererea de asistență specială nu se salvează în rezervare</t>
  </si>
  <si>
    <t xml:space="preserve">După trimiterea formularului de asistență cu scaun rulant apare mesajul de confirmare, dar cererea nu apare în detaliile rezervării.</t>
  </si>
  <si>
    <t xml:space="preserve">special assistance request lost; wheelchair request not saved; PRM request missing</t>
  </si>
  <si>
    <t xml:space="preserve">WB-1020</t>
  </si>
  <si>
    <t xml:space="preserve">WB-1021</t>
  </si>
  <si>
    <t xml:space="preserve">Cerere rambursare</t>
  </si>
  <si>
    <t xml:space="preserve">Cererile de rambursare rămân „În procesare” peste 30 de zile</t>
  </si>
  <si>
    <t xml:space="preserve">După anularea zborului, cererile de rambursare nu trec de starea „În procesare”. Clienții nu primesc nicio actualizare.</t>
  </si>
  <si>
    <t xml:space="preserve">refund not received; refund pending weeks; still waiting for refund</t>
  </si>
  <si>
    <t xml:space="preserve">WB-1022</t>
  </si>
  <si>
    <t xml:space="preserve">Codul QR de pe boarding pass nu e citit la poartă</t>
  </si>
  <si>
    <t xml:space="preserve">Codul QR de pe boarding pass e prea șters (contrast prea mic). Scannerele de la poartă nu îl citesc.</t>
  </si>
  <si>
    <t xml:space="preserve">1. Deschide pagina „Check-in” (/check-in).
2. Introdu codul rezervării HNY42K și numele Ionescu, apoi apasă „Caută rezervarea”.
3. Apasă „Fă check-in pentru pasager”.
Rezultat așteptat: pe boarding pass, codul QR („Cod de îmbarcare”) are pătrățele închise la culoare pe fundal alb, cu contrast ridicat, ușor de scanat.</t>
  </si>
  <si>
    <t xml:space="preserve">boarding pass qr not scanning; gate scanner rejected; dark mode boarding pass</t>
  </si>
  <si>
    <t xml:space="preserve">WB-1023</t>
  </si>
  <si>
    <t xml:space="preserve">3.9.0</t>
  </si>
  <si>
    <t xml:space="preserve">WB-1024</t>
  </si>
  <si>
    <t xml:space="preserve">3.10.0</t>
  </si>
  <si>
    <t xml:space="preserve">WB-1025</t>
  </si>
  <si>
    <t xml:space="preserve">Performanță</t>
  </si>
  <si>
    <t xml:space="preserve">Încărcare lentă a paginii de plată pe web</t>
  </si>
  <si>
    <t xml:space="preserve">Pe site, pagina de plată se încarcă în 8–12 secunde și unii clienți abandonează rezervarea.</t>
  </si>
  <si>
    <t xml:space="preserve">Echipa Web</t>
  </si>
  <si>
    <t xml:space="preserve">website slow; checkout page slow; website keeps loading</t>
  </si>
  <si>
    <t xml:space="preserve">WB-1026</t>
  </si>
  <si>
    <t xml:space="preserve">Suport</t>
  </si>
  <si>
    <t xml:space="preserve">Chat</t>
  </si>
  <si>
    <t xml:space="preserve">Asistentul chat repetă aceleași răspunsuri și nu transferă la un agent</t>
  </si>
  <si>
    <t xml:space="preserve">Asistentul chat de pe site nu oferă opțiunea de a vorbi cu un agent, iar clientul rămâne blocat.</t>
  </si>
  <si>
    <t xml:space="preserve">Echipa Suport</t>
  </si>
  <si>
    <t xml:space="preserve">customer service chat bot useless; can't reach human; no customer support</t>
  </si>
  <si>
    <t xml:space="preserve">WB-1027</t>
  </si>
  <si>
    <t xml:space="preserve">Check-in online</t>
  </si>
  <si>
    <t xml:space="preserve">Check-in-ul online eșuează pentru grupuri de peste 4 pasageri</t>
  </si>
  <si>
    <t xml:space="preserve">La finalizarea check-in-ului pentru 5+ pasageri apare eroarea „Ceva nu a mers bine”. Pasagerii sunt trimiși la ghișeu și plătesc taxa de check-in în aeroport.</t>
  </si>
  <si>
    <t xml:space="preserve">1. Deschide pagina „Check-in” (/check-in).
2. Introdu codul rezervării BEE5X2 și numele Popescu, apoi apasă „Caută rezervarea”.
3. Apasă „Fă check-in pentru toți cei 6 pasageri”.
Rezultat așteptat: apare mesajul „Check-in făcut” și boarding pass-urile pentru toți cei 6 pasageri; nu apare eroarea „Ceva nu a mers bine” (cod CHK-500).</t>
  </si>
  <si>
    <t xml:space="preserve">3.11.0</t>
  </si>
  <si>
    <t xml:space="preserve">Echipa Check-in</t>
  </si>
  <si>
    <t xml:space="preserve">online check-in failed; check-in error group; forced airport check-in fee</t>
  </si>
  <si>
    <t xml:space="preserve">WB-1028</t>
  </si>
  <si>
    <t xml:space="preserve">WB-1029</t>
  </si>
  <si>
    <t xml:space="preserve">WB-1030</t>
  </si>
  <si>
    <t xml:space="preserve">WB-1031</t>
  </si>
  <si>
    <t xml:space="preserve">WB-1032</t>
  </si>
  <si>
    <t xml:space="preserve">WB-1033</t>
  </si>
  <si>
    <t xml:space="preserve">Abonamente</t>
  </si>
  <si>
    <t xml:space="preserve">BeeClub</t>
  </si>
  <si>
    <t xml:space="preserve">Reducerea BeeClub nu se aplică la bagaje</t>
  </si>
  <si>
    <t xml:space="preserve">Membrii BeeClub nu primesc reducerea promisă la bagajul de cală.</t>
  </si>
  <si>
    <t xml:space="preserve">discount club not applied; membership discount; club price not working</t>
  </si>
  <si>
    <t xml:space="preserve">WB-1034</t>
  </si>
  <si>
    <t xml:space="preserve">Autentificare</t>
  </si>
  <si>
    <t xml:space="preserve">Butonul „Retrimite codul” din pagina de autentificare nu funcționează</t>
  </si>
  <si>
    <t xml:space="preserve">La autentificarea cu cod OTP, butonul „Retrimite codul” nu face nimic. Dacă primul cod a expirat, clientul nu se mai poate conecta.</t>
  </si>
  <si>
    <t xml:space="preserve">Echipa Identitate</t>
  </si>
  <si>
    <t xml:space="preserve">resend code not working; can't log in; OTP code expired no resend</t>
  </si>
  <si>
    <t xml:space="preserve">WB-1035</t>
  </si>
  <si>
    <t xml:space="preserve">3.12.0</t>
  </si>
  <si>
    <t xml:space="preserve">WB-1036</t>
  </si>
  <si>
    <t xml:space="preserve">WB-1037</t>
  </si>
  <si>
    <t xml:space="preserve">WB-1038</t>
  </si>
  <si>
    <t xml:space="preserve">3.13.0</t>
  </si>
  <si>
    <t xml:space="preserve">WB-1039</t>
  </si>
  <si>
    <t xml:space="preserve">3.14.0</t>
  </si>
  <si>
    <t xml:space="preserve">WB-1040</t>
  </si>
  <si>
    <t xml:space="preserve">Nou</t>
  </si>
  <si>
    <t xml:space="preserve">WB-1041</t>
  </si>
  <si>
    <t xml:space="preserve">WB-1042</t>
  </si>
  <si>
    <t xml:space="preserve">WB-1043</t>
  </si>
  <si>
    <t xml:space="preserve">WB-1044</t>
  </si>
  <si>
    <t xml:space="preserve">Nu pot face check-in pentru grupul nostru de 7 persoane</t>
  </si>
  <si>
    <t xml:space="preserve">Am încercat de trei ori să fac check-in online pentru toată familia (7 persoane). De fiecare dată primesc codul CHK-500 și sunt trimis la ghișeu.</t>
  </si>
  <si>
    <t xml:space="preserve">group check-in error CHK-500; family check-in failed; sent to airport desk</t>
  </si>
  <si>
    <t xml:space="preserve">WB-1045</t>
  </si>
  <si>
    <t xml:space="preserve">Biletul de îmbarcare are codul aproape invizibil</t>
  </si>
  <si>
    <t xml:space="preserve">Pe biletul de îmbarcare descărcat de pe site, pătrățelul cu codul e gri deschis și abia se vede. La poartă angajatul a trebuit să introducă datele de mână.</t>
  </si>
  <si>
    <t xml:space="preserve">boarding pass code faded; QR barely visible; gate could not scan</t>
  </si>
  <si>
    <t xml:space="preserve">WB-1046</t>
  </si>
  <si>
    <t xml:space="preserve">Noutăți</t>
  </si>
  <si>
    <t xml:space="preserve">Pagina „Noutăți” afișează datele lansărilor în format american</t>
  </si>
  <si>
    <t xml:space="preserve">În pagina „Noutăți”, datele versiunilor apar ca 10/15/2026 în loc de 15.10.2026. Unii clienți înțeleg greșit când a fost livrat un fix.</t>
  </si>
  <si>
    <t xml:space="preserve">wrong date format; release notes date confusing</t>
  </si>
  <si>
    <t xml:space="preserve">Versiune</t>
  </si>
  <si>
    <t xml:space="preserve">Data lansării</t>
  </si>
  <si>
    <t xml:space="preserve">Platforme</t>
  </si>
  <si>
    <t xml:space="preserve">Tichete rezolvate</t>
  </si>
  <si>
    <t xml:space="preserve">Nr. fix-uri</t>
  </si>
  <si>
    <t xml:space="preserve">Funcționalitate nouă</t>
  </si>
  <si>
    <t xml:space="preserve">Hartă de locuri redesenată, cu filtru pentru locuri lângă ieșire</t>
  </si>
  <si>
    <t xml:space="preserve">Boarding pass descărcabil în format PDF</t>
  </si>
  <si>
    <t xml:space="preserve">Plată în rate pentru rezervări peste 500 €</t>
  </si>
  <si>
    <t xml:space="preserve">WB-1002, WB-1003, WB-1005</t>
  </si>
  <si>
    <t xml:space="preserve">Actualizare automată a porții în „Status zbor”</t>
  </si>
  <si>
    <t xml:space="preserve">Abonament BeeClub cu reducere la bagaje</t>
  </si>
  <si>
    <t xml:space="preserve">Alegerea mesei calde la rezervare</t>
  </si>
  <si>
    <t xml:space="preserve">WB-1008, WB-1009, WB-1010, WB-1011, WB-1015</t>
  </si>
  <si>
    <t xml:space="preserve">Mod întunecat pe site</t>
  </si>
  <si>
    <t xml:space="preserve">WB-1014, WB-1017, WB-1018, WB-1021</t>
  </si>
  <si>
    <t xml:space="preserve">Check-in automat cu 48h înainte</t>
  </si>
  <si>
    <t xml:space="preserve">WB-1016, WB-1020, WB-1022</t>
  </si>
  <si>
    <t xml:space="preserve">Asistență specială (PRM) direct de pe site</t>
  </si>
  <si>
    <t xml:space="preserve">Istoric rezervări cu export PDF</t>
  </si>
  <si>
    <t xml:space="preserve">WB-1024, WB-1026, WB-1030, WB-1032</t>
  </si>
  <si>
    <t xml:space="preserve">Comparare tarife pe 7 zile</t>
  </si>
  <si>
    <t xml:space="preserve">WB-1027, WB-1029, WB-1031, WB-1033, WB-1034</t>
  </si>
  <si>
    <t xml:space="preserve">Transfer de nume pe bilet din cont</t>
  </si>
  <si>
    <t xml:space="preserve">WB-1035, WB-1036, WB-1037</t>
  </si>
  <si>
    <t xml:space="preserve">Portofel BeeCredit pentru rambursări</t>
  </si>
  <si>
    <t xml:space="preserve">Asistent chat pentru întrebări despre bagaje</t>
  </si>
  <si>
    <t xml:space="preserve">Plată cu Apple Pay și Google Pay</t>
  </si>
  <si>
    <t xml:space="preserve">Sumar tichete Wizz Bees</t>
  </si>
  <si>
    <t xml:space="preserve">Total tichete</t>
  </si>
  <si>
    <t xml:space="preserve">Redeschise / raportate din nou</t>
  </si>
  <si>
    <t xml:space="preserve">Rată de redeschidere (din fix-urile livrate)</t>
  </si>
  <si>
    <t xml:space="preserve">Câte fix-uri au fost urmate de o nouă raportare pe aceeași problemă</t>
  </si>
  <si>
    <t xml:space="preserve">Medie zile până la fix</t>
  </si>
  <si>
    <t xml:space="preserve">Tichete</t>
  </si>
  <si>
    <t xml:space="preserve">Fix livrat</t>
  </si>
  <si>
    <t xml:space="preserve">Raportări clienți</t>
  </si>
  <si>
    <t xml:space="preserve">Ce este</t>
  </si>
  <si>
    <t xml:space="preserve">Tichete de suport fictive pentru Wizz Bees, o companie aeriană inventată pentru demo-ul de la hackathon. Toate datele sunt mock.</t>
  </si>
  <si>
    <t xml:space="preserve">Cum se leagă de aplicație</t>
  </si>
  <si>
    <t xml:space="preserve">Toate tichetele privesc site-ul web Wizz Bees. Fiecare tichet „Rezolvat – fix livrat” apare și în pagina „Noutăți” a site-ului, la versiunea din coloana „Versiune fix”.</t>
  </si>
  <si>
    <t xml:space="preserve">Pentru Provocarea 2</t>
  </si>
  <si>
    <t xml:space="preserve">Aplicația de reviews ia „Data livrării fix-ului” și „Cuvinte cheie recenzii (EN)” și caută recenzii publice de după acea dată. Dacă problema mai apare, fix-ul nu a funcționat.</t>
  </si>
  <si>
    <t xml:space="preserve">Tichete legate</t>
  </si>
  <si>
    <t xml:space="preserve">Tichete deschise din nou pentru aceeași problemă (după un fix livrat sau ca raportare duplicat). Titlul nu mai conține prefixe; legătura se vede doar în coloana „Tichet legat”, ca deduplicarea cu embeddings să poată fi verificată pe ea.</t>
  </si>
  <si>
    <t xml:space="preserve">Ce puteți edita</t>
  </si>
  <si>
    <t xml:space="preserve">Orice coloană din foaia Tichete, cu excepția „Zile până la fix” (formulă). Status și Severitate au liste derulante.</t>
  </si>
  <si>
    <t xml:space="preserve">Rânduri noi</t>
  </si>
  <si>
    <t xml:space="preserve">Adăugați sub ultimul rând. Formulele din Sumar acoperă doar rândurile existente; extindeți intervalele dacă adăugați multe tichete.</t>
  </si>
  <si>
    <t xml:space="preserve">Regenerare</t>
  </si>
  <si>
    <t xml:space="preserve">Fișier editat manual după generare; nu mai rulați scripturile de generare peste el.</t>
  </si>
  <si>
    <t xml:space="preserve">Scriși de developer când livrează fix-ul. AI Testing Agent îi transformă într-un plan Playwright și îi rulează periodic pe tichetele „Rezolvat – fix livrat”. Au pași doar tichetele ale căror bug-uri există în Wizz Bees (src/data/bugs.js). Un tichet „Rezolvat – fix livrat” fără pași apare în dashboard ca „Necesită verificare manuală”.</t>
  </si>
  <si>
    <t xml:space="preserve">Valorile existente sunt cele decise de LLM la extracție. La un tichet nou, lăsați coloana goală: LLM-ul o completează la import.</t>
  </si>
  <si>
    <t xml:space="preserve">Status după verificare</t>
  </si>
  <si>
    <t xml:space="preserve">Test trecut → statusul rămâne „Rezolvat – fix livrat”. Test picat → „În lucru”, cu data de azi. „Nou”, „În lucru” și „Închis – nu se reproduce” nu sunt testate.</t>
  </si>
  <si>
    <t xml:space="preserve">Date de test</t>
  </si>
  <si>
    <t xml:space="preserve">Pașii folosesc rezervările de demo și zborurile deterministe din Wizz Bees; lista e în foaia „Date de test”. Agentul pornește fiecare test într-un browser curat (localStorage gol), altfel un check-in reușit rămâne salvat.</t>
  </si>
  <si>
    <t xml:space="preserve">Tip</t>
  </si>
  <si>
    <t xml:space="preserve">Valoare</t>
  </si>
  <si>
    <t xml:space="preserve">Folosit de</t>
  </si>
  <si>
    <t xml:space="preserve">Ce conține</t>
  </si>
  <si>
    <t xml:space="preserve">BEE5X2 / Popescu</t>
  </si>
  <si>
    <t xml:space="preserve">WB-1027, WB-1040</t>
  </si>
  <si>
    <t xml:space="preserve">Grup de 6 pasageri, zbor WB 412 (A321neo); check-in neefectuat</t>
  </si>
  <si>
    <t xml:space="preserve">HNY42K / Ionescu</t>
  </si>
  <si>
    <t xml:space="preserve">WB-1022, WB-1036, WB-1042</t>
  </si>
  <si>
    <t xml:space="preserve">Un pasager, zbor WB 233; check-in neefectuat</t>
  </si>
  <si>
    <t xml:space="preserve">Zbor</t>
  </si>
  <si>
    <t xml:space="preserve">OTP → BCN, 2026-11-13, WB 541</t>
  </si>
  <si>
    <t xml:space="preserve">WB-1008, WB-1013, WB-1016, WB-1029</t>
  </si>
  <si>
    <t xml:space="preserve">Singurul zbor al zilei, operat cu A321neo; bagaj de cală 20 kg = 189 lei</t>
  </si>
  <si>
    <t xml:space="preserve">Selectorul „Versiunea aplicației” din footer</t>
  </si>
  <si>
    <t xml:space="preserve">toate</t>
  </si>
  <si>
    <t xml:space="preserve">Versiunea curentă e 3.14.0. Bug-urile apar/dispar după versiune (src/data/bugs.js); localStorage „wb.version”</t>
  </si>
</sst>
</file>

<file path=xl/styles.xml><?xml version="1.0" encoding="utf-8"?>
<styleSheet xmlns="http://schemas.openxmlformats.org/spreadsheetml/2006/main">
  <numFmts count="4">
    <numFmt numFmtId="164" formatCode="General"/>
    <numFmt numFmtId="165" formatCode="yyyy\-mm\-dd"/>
    <numFmt numFmtId="166" formatCode="0.0%"/>
    <numFmt numFmtId="167" formatCode="0.0"/>
  </numFmts>
  <fonts count="10">
    <font>
      <sz val="11"/>
      <color theme="1"/>
      <name val="Calibri"/>
      <family val="2"/>
      <charset val="1"/>
    </font>
    <font>
      <sz val="10"/>
      <name val="Arial"/>
      <family val="0"/>
    </font>
    <font>
      <sz val="10"/>
      <name val="Arial"/>
      <family val="0"/>
    </font>
    <font>
      <sz val="10"/>
      <name val="Arial"/>
      <family val="0"/>
    </font>
    <font>
      <b val="true"/>
      <sz val="11"/>
      <color rgb="FFFFC21A"/>
      <name val="Arial"/>
      <family val="0"/>
      <charset val="1"/>
    </font>
    <font>
      <sz val="10"/>
      <name val="Arial"/>
      <family val="0"/>
      <charset val="1"/>
    </font>
    <font>
      <sz val="10"/>
      <name val="Arial"/>
      <family val="2"/>
    </font>
    <font>
      <b val="true"/>
      <sz val="14"/>
      <name val="Arial"/>
      <family val="0"/>
      <charset val="1"/>
    </font>
    <font>
      <b val="true"/>
      <sz val="10"/>
      <name val="Arial"/>
      <family val="0"/>
      <charset val="1"/>
    </font>
    <font>
      <i val="true"/>
      <sz val="9"/>
      <color rgb="FF666666"/>
      <name val="Arial"/>
      <family val="0"/>
      <charset val="1"/>
    </font>
  </fonts>
  <fills count="7">
    <fill>
      <patternFill patternType="none"/>
    </fill>
    <fill>
      <patternFill patternType="gray125"/>
    </fill>
    <fill>
      <patternFill patternType="solid">
        <fgColor rgb="FF1C1A17"/>
        <bgColor rgb="FF333333"/>
      </patternFill>
    </fill>
    <fill>
      <patternFill patternType="solid">
        <fgColor rgb="FFE6F4EA"/>
        <bgColor rgb="FFEEEEEE"/>
      </patternFill>
    </fill>
    <fill>
      <patternFill patternType="solid">
        <fgColor rgb="FFFFF4D6"/>
        <bgColor rgb="FFFDE7E7"/>
      </patternFill>
    </fill>
    <fill>
      <patternFill patternType="solid">
        <fgColor rgb="FFEEEEEE"/>
        <bgColor rgb="FFE6F4EA"/>
      </patternFill>
    </fill>
    <fill>
      <patternFill patternType="solid">
        <fgColor rgb="FFFDE7E7"/>
        <bgColor rgb="FFEEEEEE"/>
      </patternFill>
    </fill>
  </fills>
  <borders count="2">
    <border diagonalUp="false" diagonalDown="false">
      <left/>
      <right/>
      <top/>
      <bottom/>
      <diagonal/>
    </border>
    <border diagonalUp="false" diagonalDown="false">
      <left/>
      <right/>
      <top/>
      <bottom style="thin">
        <color rgb="FFD9D4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C1A17"/>
          <bgColor rgb="FF000000"/>
        </patternFill>
      </fill>
    </dxf>
    <dxf>
      <fill>
        <patternFill patternType="solid">
          <bgColor rgb="FF000000"/>
        </patternFill>
      </fill>
    </dxf>
    <dxf>
      <fill>
        <patternFill patternType="solid">
          <fgColor rgb="FFFFC21A"/>
          <bgColor rgb="FF000000"/>
        </patternFill>
      </fill>
    </dxf>
    <dxf>
      <fill>
        <patternFill patternType="solid">
          <fgColor rgb="FFE6F4EA"/>
          <bgColor rgb="FF000000"/>
        </patternFill>
      </fill>
    </dxf>
    <dxf>
      <fill>
        <patternFill patternType="solid">
          <fgColor rgb="FFEEEEEE"/>
          <bgColor rgb="FF000000"/>
        </patternFill>
      </fill>
    </dxf>
    <dxf>
      <fill>
        <patternFill patternType="solid">
          <fgColor rgb="FFFDE7E7"/>
          <bgColor rgb="FF000000"/>
        </patternFill>
      </fill>
    </dxf>
    <dxf>
      <fill>
        <patternFill patternType="solid">
          <fgColor rgb="FFFFF4D6"/>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D9D4C7"/>
      <rgbColor rgb="FF808080"/>
      <rgbColor rgb="FF9999FF"/>
      <rgbColor rgb="FF993366"/>
      <rgbColor rgb="FFFFF4D6"/>
      <rgbColor rgb="FFE6F4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DE7E7"/>
      <rgbColor rgb="FF99CCFF"/>
      <rgbColor rgb="FFFF99CC"/>
      <rgbColor rgb="FFCC99FF"/>
      <rgbColor rgb="FFFFCC99"/>
      <rgbColor rgb="FF3366FF"/>
      <rgbColor rgb="FF33CCCC"/>
      <rgbColor rgb="FF99CC00"/>
      <rgbColor rgb="FFFFC21A"/>
      <rgbColor rgb="FFFF9900"/>
      <rgbColor rgb="FFFF6600"/>
      <rgbColor rgb="FF666666"/>
      <rgbColor rgb="FF969696"/>
      <rgbColor rgb="FF003366"/>
      <rgbColor rgb="FF339966"/>
      <rgbColor rgb="FF003300"/>
      <rgbColor rgb="FF1C1A17"/>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3"/>
    <col collapsed="false" customWidth="true" hidden="false" outlineLevel="0" max="3" min="3" style="1" width="16"/>
    <col collapsed="false" customWidth="true" hidden="false" outlineLevel="0" max="5" min="5" style="1" width="18"/>
    <col collapsed="false" customWidth="true" hidden="false" outlineLevel="0" max="6" min="6" style="1" width="46"/>
    <col collapsed="false" customWidth="true" hidden="false" outlineLevel="0" max="7" min="7" style="1" width="70"/>
    <col collapsed="false" customWidth="true" hidden="false" outlineLevel="0" max="8" min="8" style="1" width="60"/>
    <col collapsed="false" customWidth="true" hidden="false" outlineLevel="0" max="9" min="9" style="1" width="11"/>
    <col collapsed="false" customWidth="true" hidden="false" outlineLevel="0" max="10" min="10" style="1" width="12"/>
    <col collapsed="false" customWidth="true" hidden="false" outlineLevel="0" max="11" min="11" style="1" width="11"/>
    <col collapsed="false" customWidth="true" hidden="false" outlineLevel="0" max="12" min="12" style="1" width="22"/>
    <col collapsed="false" customWidth="true" hidden="false" outlineLevel="0" max="13" min="13" style="1" width="10"/>
    <col collapsed="false" customWidth="true" hidden="false" outlineLevel="0" max="14" min="14" style="1" width="13"/>
    <col collapsed="false" customWidth="true" hidden="false" outlineLevel="0" max="16" min="16" style="1" width="10"/>
    <col collapsed="false" customWidth="true" hidden="false" outlineLevel="0" max="17" min="17" style="1" width="24"/>
    <col collapsed="false" customWidth="true" hidden="false" outlineLevel="0" max="18" min="18" style="1" width="11"/>
    <col collapsed="false" customWidth="true" hidden="false" outlineLevel="0" max="19" min="19" style="1" width="50"/>
  </cols>
  <sheetData>
    <row r="1" customFormat="false" ht="30"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customFormat="false" ht="23.25" hidden="false" customHeight="true" outlineLevel="0" collapsed="false">
      <c r="A2" s="3" t="s">
        <v>19</v>
      </c>
      <c r="B2" s="4" t="n">
        <v>46028</v>
      </c>
      <c r="C2" s="3" t="s">
        <v>20</v>
      </c>
      <c r="D2" s="3" t="s">
        <v>21</v>
      </c>
      <c r="E2" s="3" t="s">
        <v>22</v>
      </c>
      <c r="F2" s="5" t="s">
        <v>23</v>
      </c>
      <c r="G2" s="5" t="s">
        <v>24</v>
      </c>
      <c r="H2" s="5"/>
      <c r="I2" s="3" t="s">
        <v>25</v>
      </c>
      <c r="J2" s="3" t="n">
        <v>120</v>
      </c>
      <c r="K2" s="3" t="s">
        <v>26</v>
      </c>
      <c r="L2" s="6" t="s">
        <v>27</v>
      </c>
      <c r="M2" s="3" t="s">
        <v>28</v>
      </c>
      <c r="N2" s="4" t="n">
        <v>46053</v>
      </c>
      <c r="O2" s="4"/>
      <c r="P2" s="3" t="n">
        <f aca="false">IF(N2="","",N2-B2)</f>
        <v>25</v>
      </c>
      <c r="Q2" s="3" t="s">
        <v>29</v>
      </c>
      <c r="R2" s="3"/>
      <c r="S2" s="5" t="s">
        <v>30</v>
      </c>
    </row>
    <row r="3" customFormat="false" ht="23.25" hidden="false" customHeight="true" outlineLevel="0" collapsed="false">
      <c r="A3" s="3" t="s">
        <v>31</v>
      </c>
      <c r="B3" s="4" t="n">
        <v>46055</v>
      </c>
      <c r="C3" s="3" t="s">
        <v>20</v>
      </c>
      <c r="D3" s="3" t="s">
        <v>32</v>
      </c>
      <c r="E3" s="3" t="s">
        <v>33</v>
      </c>
      <c r="F3" s="5" t="s">
        <v>34</v>
      </c>
      <c r="G3" s="5" t="s">
        <v>35</v>
      </c>
      <c r="H3" s="5"/>
      <c r="I3" s="3" t="s">
        <v>25</v>
      </c>
      <c r="J3" s="3" t="n">
        <v>125</v>
      </c>
      <c r="K3" s="3" t="s">
        <v>28</v>
      </c>
      <c r="L3" s="6" t="s">
        <v>27</v>
      </c>
      <c r="M3" s="3" t="s">
        <v>36</v>
      </c>
      <c r="N3" s="4" t="n">
        <v>46093</v>
      </c>
      <c r="O3" s="4"/>
      <c r="P3" s="3" t="n">
        <f aca="false">IF(N3="","",N3-B3)</f>
        <v>38</v>
      </c>
      <c r="Q3" s="3" t="s">
        <v>37</v>
      </c>
      <c r="R3" s="3"/>
      <c r="S3" s="5" t="s">
        <v>38</v>
      </c>
    </row>
    <row r="4" customFormat="false" ht="23.25" hidden="false" customHeight="true" outlineLevel="0" collapsed="false">
      <c r="A4" s="3" t="s">
        <v>39</v>
      </c>
      <c r="B4" s="4" t="n">
        <v>46066</v>
      </c>
      <c r="C4" s="3" t="s">
        <v>20</v>
      </c>
      <c r="D4" s="3" t="s">
        <v>40</v>
      </c>
      <c r="E4" s="3" t="s">
        <v>41</v>
      </c>
      <c r="F4" s="5" t="s">
        <v>42</v>
      </c>
      <c r="G4" s="5" t="s">
        <v>43</v>
      </c>
      <c r="H4" s="5"/>
      <c r="I4" s="3" t="s">
        <v>25</v>
      </c>
      <c r="J4" s="3" t="n">
        <v>55</v>
      </c>
      <c r="K4" s="3" t="s">
        <v>28</v>
      </c>
      <c r="L4" s="6" t="s">
        <v>27</v>
      </c>
      <c r="M4" s="3" t="s">
        <v>36</v>
      </c>
      <c r="N4" s="4" t="n">
        <v>46093</v>
      </c>
      <c r="O4" s="4"/>
      <c r="P4" s="3" t="n">
        <f aca="false">IF(N4="","",N4-B4)</f>
        <v>27</v>
      </c>
      <c r="Q4" s="3" t="s">
        <v>29</v>
      </c>
      <c r="R4" s="3"/>
      <c r="S4" s="5" t="s">
        <v>44</v>
      </c>
    </row>
    <row r="5" customFormat="false" ht="23.25" hidden="false" customHeight="true" outlineLevel="0" collapsed="false">
      <c r="A5" s="3" t="s">
        <v>45</v>
      </c>
      <c r="B5" s="4" t="n">
        <v>46067</v>
      </c>
      <c r="C5" s="3" t="s">
        <v>20</v>
      </c>
      <c r="D5" s="3" t="s">
        <v>21</v>
      </c>
      <c r="E5" s="3" t="s">
        <v>22</v>
      </c>
      <c r="F5" s="5" t="s">
        <v>23</v>
      </c>
      <c r="G5" s="5" t="s">
        <v>24</v>
      </c>
      <c r="H5" s="5"/>
      <c r="I5" s="3" t="s">
        <v>25</v>
      </c>
      <c r="J5" s="3" t="n">
        <v>266</v>
      </c>
      <c r="K5" s="3" t="s">
        <v>28</v>
      </c>
      <c r="L5" s="7" t="s">
        <v>46</v>
      </c>
      <c r="M5" s="3"/>
      <c r="N5" s="4"/>
      <c r="O5" s="4"/>
      <c r="P5" s="3" t="str">
        <f aca="false">IF(N5="","",N5-B5)</f>
        <v/>
      </c>
      <c r="Q5" s="3" t="s">
        <v>29</v>
      </c>
      <c r="R5" s="3" t="s">
        <v>19</v>
      </c>
      <c r="S5" s="5" t="s">
        <v>30</v>
      </c>
    </row>
    <row r="6" customFormat="false" ht="23.25" hidden="false" customHeight="true" outlineLevel="0" collapsed="false">
      <c r="A6" s="3" t="s">
        <v>47</v>
      </c>
      <c r="B6" s="4" t="n">
        <v>46084</v>
      </c>
      <c r="C6" s="3" t="s">
        <v>48</v>
      </c>
      <c r="D6" s="3" t="s">
        <v>49</v>
      </c>
      <c r="E6" s="3" t="s">
        <v>50</v>
      </c>
      <c r="F6" s="5" t="s">
        <v>51</v>
      </c>
      <c r="G6" s="5" t="s">
        <v>52</v>
      </c>
      <c r="H6" s="5"/>
      <c r="I6" s="3" t="s">
        <v>53</v>
      </c>
      <c r="J6" s="3" t="n">
        <v>71</v>
      </c>
      <c r="K6" s="3" t="s">
        <v>54</v>
      </c>
      <c r="L6" s="6" t="s">
        <v>27</v>
      </c>
      <c r="M6" s="3" t="s">
        <v>36</v>
      </c>
      <c r="N6" s="4" t="n">
        <v>46093</v>
      </c>
      <c r="O6" s="4"/>
      <c r="P6" s="3" t="n">
        <f aca="false">IF(N6="","",N6-B6)</f>
        <v>9</v>
      </c>
      <c r="Q6" s="3" t="s">
        <v>55</v>
      </c>
      <c r="R6" s="3"/>
      <c r="S6" s="5" t="s">
        <v>56</v>
      </c>
    </row>
    <row r="7" customFormat="false" ht="34.5" hidden="false" customHeight="true" outlineLevel="0" collapsed="false">
      <c r="A7" s="3" t="s">
        <v>57</v>
      </c>
      <c r="B7" s="4" t="n">
        <v>46106</v>
      </c>
      <c r="C7" s="3" t="s">
        <v>20</v>
      </c>
      <c r="D7" s="3" t="s">
        <v>32</v>
      </c>
      <c r="E7" s="3" t="s">
        <v>33</v>
      </c>
      <c r="F7" s="5" t="s">
        <v>34</v>
      </c>
      <c r="G7" s="5" t="s">
        <v>35</v>
      </c>
      <c r="H7" s="5"/>
      <c r="I7" s="3" t="s">
        <v>25</v>
      </c>
      <c r="J7" s="3" t="n">
        <v>46</v>
      </c>
      <c r="K7" s="3" t="s">
        <v>36</v>
      </c>
      <c r="L7" s="6" t="s">
        <v>27</v>
      </c>
      <c r="M7" s="3" t="s">
        <v>58</v>
      </c>
      <c r="N7" s="4" t="n">
        <v>46133</v>
      </c>
      <c r="O7" s="4"/>
      <c r="P7" s="3" t="n">
        <f aca="false">IF(N7="","",N7-B7)</f>
        <v>27</v>
      </c>
      <c r="Q7" s="3" t="s">
        <v>37</v>
      </c>
      <c r="R7" s="3" t="s">
        <v>31</v>
      </c>
      <c r="S7" s="5" t="s">
        <v>38</v>
      </c>
    </row>
    <row r="8" customFormat="false" ht="34.5" hidden="false" customHeight="true" outlineLevel="0" collapsed="false">
      <c r="A8" s="3" t="s">
        <v>59</v>
      </c>
      <c r="B8" s="4" t="n">
        <v>46108</v>
      </c>
      <c r="C8" s="3" t="s">
        <v>48</v>
      </c>
      <c r="D8" s="3" t="s">
        <v>40</v>
      </c>
      <c r="E8" s="3" t="s">
        <v>41</v>
      </c>
      <c r="F8" s="5" t="s">
        <v>42</v>
      </c>
      <c r="G8" s="5" t="s">
        <v>43</v>
      </c>
      <c r="H8" s="5"/>
      <c r="I8" s="3" t="s">
        <v>25</v>
      </c>
      <c r="J8" s="3" t="n">
        <v>138</v>
      </c>
      <c r="K8" s="3" t="s">
        <v>36</v>
      </c>
      <c r="L8" s="7" t="s">
        <v>46</v>
      </c>
      <c r="M8" s="3"/>
      <c r="N8" s="4"/>
      <c r="O8" s="4"/>
      <c r="P8" s="3" t="str">
        <f aca="false">IF(N8="","",N8-B8)</f>
        <v/>
      </c>
      <c r="Q8" s="3" t="s">
        <v>29</v>
      </c>
      <c r="R8" s="3" t="s">
        <v>39</v>
      </c>
      <c r="S8" s="5" t="s">
        <v>44</v>
      </c>
    </row>
    <row r="9" customFormat="false" ht="23.25" hidden="false" customHeight="true" outlineLevel="0" collapsed="false">
      <c r="A9" s="3" t="s">
        <v>60</v>
      </c>
      <c r="B9" s="4" t="n">
        <v>46110</v>
      </c>
      <c r="C9" s="3" t="s">
        <v>20</v>
      </c>
      <c r="D9" s="3" t="s">
        <v>61</v>
      </c>
      <c r="E9" s="3" t="s">
        <v>62</v>
      </c>
      <c r="F9" s="5" t="s">
        <v>63</v>
      </c>
      <c r="G9" s="5" t="s">
        <v>64</v>
      </c>
      <c r="H9" s="5" t="s">
        <v>65</v>
      </c>
      <c r="I9" s="3" t="s">
        <v>53</v>
      </c>
      <c r="J9" s="3" t="n">
        <v>30</v>
      </c>
      <c r="K9" s="3" t="s">
        <v>36</v>
      </c>
      <c r="L9" s="6" t="s">
        <v>27</v>
      </c>
      <c r="M9" s="3" t="s">
        <v>66</v>
      </c>
      <c r="N9" s="4" t="n">
        <v>46153</v>
      </c>
      <c r="O9" s="4"/>
      <c r="P9" s="3" t="n">
        <f aca="false">IF(N9="","",N9-B9)</f>
        <v>43</v>
      </c>
      <c r="Q9" s="3" t="s">
        <v>67</v>
      </c>
      <c r="R9" s="3"/>
      <c r="S9" s="5" t="s">
        <v>68</v>
      </c>
    </row>
    <row r="10" customFormat="false" ht="23.25" hidden="false" customHeight="true" outlineLevel="0" collapsed="false">
      <c r="A10" s="3" t="s">
        <v>69</v>
      </c>
      <c r="B10" s="4" t="n">
        <v>46124</v>
      </c>
      <c r="C10" s="3" t="s">
        <v>20</v>
      </c>
      <c r="D10" s="3" t="s">
        <v>70</v>
      </c>
      <c r="E10" s="3" t="s">
        <v>71</v>
      </c>
      <c r="F10" s="5" t="s">
        <v>72</v>
      </c>
      <c r="G10" s="5" t="s">
        <v>73</v>
      </c>
      <c r="H10" s="5"/>
      <c r="I10" s="3" t="s">
        <v>74</v>
      </c>
      <c r="J10" s="3" t="n">
        <v>86</v>
      </c>
      <c r="K10" s="3" t="s">
        <v>75</v>
      </c>
      <c r="L10" s="6" t="s">
        <v>27</v>
      </c>
      <c r="M10" s="3" t="s">
        <v>66</v>
      </c>
      <c r="N10" s="4" t="n">
        <v>46153</v>
      </c>
      <c r="O10" s="4"/>
      <c r="P10" s="3" t="n">
        <f aca="false">IF(N10="","",N10-B10)</f>
        <v>29</v>
      </c>
      <c r="Q10" s="3" t="s">
        <v>76</v>
      </c>
      <c r="R10" s="3"/>
      <c r="S10" s="5" t="s">
        <v>77</v>
      </c>
    </row>
    <row r="11" customFormat="false" ht="23.25" hidden="false" customHeight="true" outlineLevel="0" collapsed="false">
      <c r="A11" s="3" t="s">
        <v>78</v>
      </c>
      <c r="B11" s="4" t="n">
        <v>46124</v>
      </c>
      <c r="C11" s="3" t="s">
        <v>79</v>
      </c>
      <c r="D11" s="3" t="s">
        <v>70</v>
      </c>
      <c r="E11" s="3" t="s">
        <v>80</v>
      </c>
      <c r="F11" s="5" t="s">
        <v>81</v>
      </c>
      <c r="G11" s="5" t="s">
        <v>82</v>
      </c>
      <c r="H11" s="5"/>
      <c r="I11" s="3" t="s">
        <v>53</v>
      </c>
      <c r="J11" s="3" t="n">
        <v>89</v>
      </c>
      <c r="K11" s="3" t="s">
        <v>75</v>
      </c>
      <c r="L11" s="6" t="s">
        <v>27</v>
      </c>
      <c r="M11" s="3" t="s">
        <v>66</v>
      </c>
      <c r="N11" s="4" t="n">
        <v>46153</v>
      </c>
      <c r="O11" s="4"/>
      <c r="P11" s="3" t="n">
        <f aca="false">IF(N11="","",N11-B11)</f>
        <v>29</v>
      </c>
      <c r="Q11" s="3" t="s">
        <v>76</v>
      </c>
      <c r="R11" s="3"/>
      <c r="S11" s="5" t="s">
        <v>83</v>
      </c>
    </row>
    <row r="12" customFormat="false" ht="23.25" hidden="false" customHeight="true" outlineLevel="0" collapsed="false">
      <c r="A12" s="3" t="s">
        <v>84</v>
      </c>
      <c r="B12" s="4" t="n">
        <v>46126</v>
      </c>
      <c r="C12" s="3" t="s">
        <v>85</v>
      </c>
      <c r="D12" s="3" t="s">
        <v>86</v>
      </c>
      <c r="E12" s="3" t="s">
        <v>87</v>
      </c>
      <c r="F12" s="5" t="s">
        <v>88</v>
      </c>
      <c r="G12" s="5" t="s">
        <v>89</v>
      </c>
      <c r="H12" s="5"/>
      <c r="I12" s="3" t="s">
        <v>25</v>
      </c>
      <c r="J12" s="3" t="n">
        <v>149</v>
      </c>
      <c r="K12" s="3" t="s">
        <v>75</v>
      </c>
      <c r="L12" s="6" t="s">
        <v>27</v>
      </c>
      <c r="M12" s="3" t="s">
        <v>66</v>
      </c>
      <c r="N12" s="4" t="n">
        <v>46153</v>
      </c>
      <c r="O12" s="4"/>
      <c r="P12" s="3" t="n">
        <f aca="false">IF(N12="","",N12-B12)</f>
        <v>27</v>
      </c>
      <c r="Q12" s="3" t="s">
        <v>67</v>
      </c>
      <c r="R12" s="3"/>
      <c r="S12" s="5" t="s">
        <v>90</v>
      </c>
    </row>
    <row r="13" customFormat="false" ht="23.25" hidden="false" customHeight="true" outlineLevel="0" collapsed="false">
      <c r="A13" s="3" t="s">
        <v>91</v>
      </c>
      <c r="B13" s="4" t="n">
        <v>46129</v>
      </c>
      <c r="C13" s="3" t="s">
        <v>79</v>
      </c>
      <c r="D13" s="3" t="s">
        <v>61</v>
      </c>
      <c r="E13" s="3" t="s">
        <v>92</v>
      </c>
      <c r="F13" s="5" t="s">
        <v>93</v>
      </c>
      <c r="G13" s="5" t="s">
        <v>94</v>
      </c>
      <c r="H13" s="5"/>
      <c r="I13" s="3" t="s">
        <v>95</v>
      </c>
      <c r="J13" s="3" t="n">
        <v>41</v>
      </c>
      <c r="K13" s="3" t="s">
        <v>75</v>
      </c>
      <c r="L13" s="8" t="s">
        <v>96</v>
      </c>
      <c r="M13" s="3"/>
      <c r="N13" s="4"/>
      <c r="O13" s="4" t="n">
        <v>46141</v>
      </c>
      <c r="P13" s="3" t="str">
        <f aca="false">IF(N13="","",N13-B13)</f>
        <v/>
      </c>
      <c r="Q13" s="3" t="s">
        <v>97</v>
      </c>
      <c r="R13" s="3"/>
      <c r="S13" s="5" t="s">
        <v>98</v>
      </c>
    </row>
    <row r="14" customFormat="false" ht="23.25" hidden="false" customHeight="true" outlineLevel="0" collapsed="false">
      <c r="A14" s="3" t="s">
        <v>99</v>
      </c>
      <c r="B14" s="4" t="n">
        <v>46129</v>
      </c>
      <c r="C14" s="3" t="s">
        <v>48</v>
      </c>
      <c r="D14" s="3" t="s">
        <v>86</v>
      </c>
      <c r="E14" s="3" t="s">
        <v>100</v>
      </c>
      <c r="F14" s="5" t="s">
        <v>101</v>
      </c>
      <c r="G14" s="5" t="s">
        <v>102</v>
      </c>
      <c r="H14" s="5"/>
      <c r="I14" s="3" t="s">
        <v>25</v>
      </c>
      <c r="J14" s="3" t="n">
        <v>255</v>
      </c>
      <c r="K14" s="3" t="s">
        <v>75</v>
      </c>
      <c r="L14" s="8" t="s">
        <v>96</v>
      </c>
      <c r="M14" s="3"/>
      <c r="N14" s="4"/>
      <c r="O14" s="4" t="n">
        <v>46134</v>
      </c>
      <c r="P14" s="3" t="str">
        <f aca="false">IF(N14="","",N14-B14)</f>
        <v/>
      </c>
      <c r="Q14" s="3" t="s">
        <v>55</v>
      </c>
      <c r="R14" s="3"/>
      <c r="S14" s="5" t="s">
        <v>103</v>
      </c>
    </row>
    <row r="15" customFormat="false" ht="23.25" hidden="false" customHeight="true" outlineLevel="0" collapsed="false">
      <c r="A15" s="3" t="s">
        <v>104</v>
      </c>
      <c r="B15" s="4" t="n">
        <v>46137</v>
      </c>
      <c r="C15" s="3" t="s">
        <v>85</v>
      </c>
      <c r="D15" s="3" t="s">
        <v>105</v>
      </c>
      <c r="E15" s="3" t="s">
        <v>106</v>
      </c>
      <c r="F15" s="5" t="s">
        <v>107</v>
      </c>
      <c r="G15" s="5" t="s">
        <v>108</v>
      </c>
      <c r="H15" s="5"/>
      <c r="I15" s="3" t="s">
        <v>74</v>
      </c>
      <c r="J15" s="3" t="n">
        <v>376</v>
      </c>
      <c r="K15" s="3" t="s">
        <v>58</v>
      </c>
      <c r="L15" s="6" t="s">
        <v>27</v>
      </c>
      <c r="M15" s="3" t="s">
        <v>109</v>
      </c>
      <c r="N15" s="4" t="n">
        <v>46172</v>
      </c>
      <c r="O15" s="4"/>
      <c r="P15" s="3" t="n">
        <f aca="false">IF(N15="","",N15-B15)</f>
        <v>35</v>
      </c>
      <c r="Q15" s="3" t="s">
        <v>29</v>
      </c>
      <c r="R15" s="3"/>
      <c r="S15" s="5" t="s">
        <v>110</v>
      </c>
    </row>
    <row r="16" customFormat="false" ht="23.25" hidden="false" customHeight="true" outlineLevel="0" collapsed="false">
      <c r="A16" s="3" t="s">
        <v>111</v>
      </c>
      <c r="B16" s="4" t="n">
        <v>46138</v>
      </c>
      <c r="C16" s="3" t="s">
        <v>79</v>
      </c>
      <c r="D16" s="3" t="s">
        <v>86</v>
      </c>
      <c r="E16" s="3" t="s">
        <v>112</v>
      </c>
      <c r="F16" s="5" t="s">
        <v>113</v>
      </c>
      <c r="G16" s="5" t="s">
        <v>114</v>
      </c>
      <c r="H16" s="5"/>
      <c r="I16" s="3" t="s">
        <v>53</v>
      </c>
      <c r="J16" s="3" t="n">
        <v>34</v>
      </c>
      <c r="K16" s="3" t="s">
        <v>58</v>
      </c>
      <c r="L16" s="6" t="s">
        <v>27</v>
      </c>
      <c r="M16" s="3" t="s">
        <v>66</v>
      </c>
      <c r="N16" s="4" t="n">
        <v>46153</v>
      </c>
      <c r="O16" s="4"/>
      <c r="P16" s="3" t="n">
        <f aca="false">IF(N16="","",N16-B16)</f>
        <v>15</v>
      </c>
      <c r="Q16" s="3" t="s">
        <v>55</v>
      </c>
      <c r="R16" s="3"/>
      <c r="S16" s="5" t="s">
        <v>115</v>
      </c>
    </row>
    <row r="17" customFormat="false" ht="23.25" hidden="false" customHeight="true" outlineLevel="0" collapsed="false">
      <c r="A17" s="3" t="s">
        <v>116</v>
      </c>
      <c r="B17" s="4" t="n">
        <v>46144</v>
      </c>
      <c r="C17" s="3" t="s">
        <v>20</v>
      </c>
      <c r="D17" s="3" t="s">
        <v>86</v>
      </c>
      <c r="E17" s="3" t="s">
        <v>100</v>
      </c>
      <c r="F17" s="5" t="s">
        <v>101</v>
      </c>
      <c r="G17" s="5" t="s">
        <v>102</v>
      </c>
      <c r="H17" s="5" t="s">
        <v>117</v>
      </c>
      <c r="I17" s="3" t="s">
        <v>25</v>
      </c>
      <c r="J17" s="3" t="n">
        <v>81</v>
      </c>
      <c r="K17" s="3" t="s">
        <v>58</v>
      </c>
      <c r="L17" s="6" t="s">
        <v>27</v>
      </c>
      <c r="M17" s="3" t="s">
        <v>118</v>
      </c>
      <c r="N17" s="4" t="n">
        <v>46191</v>
      </c>
      <c r="O17" s="4"/>
      <c r="P17" s="3" t="n">
        <f aca="false">IF(N17="","",N17-B17)</f>
        <v>47</v>
      </c>
      <c r="Q17" s="3" t="s">
        <v>55</v>
      </c>
      <c r="R17" s="3" t="s">
        <v>99</v>
      </c>
      <c r="S17" s="5" t="s">
        <v>103</v>
      </c>
    </row>
    <row r="18" customFormat="false" ht="23.25" hidden="false" customHeight="true" outlineLevel="0" collapsed="false">
      <c r="A18" s="3" t="s">
        <v>119</v>
      </c>
      <c r="B18" s="4" t="n">
        <v>46146</v>
      </c>
      <c r="C18" s="3" t="s">
        <v>48</v>
      </c>
      <c r="D18" s="3" t="s">
        <v>86</v>
      </c>
      <c r="E18" s="3" t="s">
        <v>100</v>
      </c>
      <c r="F18" s="5" t="s">
        <v>120</v>
      </c>
      <c r="G18" s="5" t="s">
        <v>121</v>
      </c>
      <c r="H18" s="5"/>
      <c r="I18" s="3" t="s">
        <v>25</v>
      </c>
      <c r="J18" s="3" t="n">
        <v>8</v>
      </c>
      <c r="K18" s="3" t="s">
        <v>58</v>
      </c>
      <c r="L18" s="6" t="s">
        <v>27</v>
      </c>
      <c r="M18" s="3" t="s">
        <v>109</v>
      </c>
      <c r="N18" s="4" t="n">
        <v>46172</v>
      </c>
      <c r="O18" s="4"/>
      <c r="P18" s="3" t="n">
        <f aca="false">IF(N18="","",N18-B18)</f>
        <v>26</v>
      </c>
      <c r="Q18" s="3" t="s">
        <v>55</v>
      </c>
      <c r="R18" s="3"/>
      <c r="S18" s="5" t="s">
        <v>122</v>
      </c>
    </row>
    <row r="19" customFormat="false" ht="23.25" hidden="false" customHeight="true" outlineLevel="0" collapsed="false">
      <c r="A19" s="3" t="s">
        <v>123</v>
      </c>
      <c r="B19" s="4" t="n">
        <v>46151</v>
      </c>
      <c r="C19" s="3" t="s">
        <v>79</v>
      </c>
      <c r="D19" s="3" t="s">
        <v>21</v>
      </c>
      <c r="E19" s="3" t="s">
        <v>124</v>
      </c>
      <c r="F19" s="5" t="s">
        <v>125</v>
      </c>
      <c r="G19" s="5" t="s">
        <v>126</v>
      </c>
      <c r="H19" s="5"/>
      <c r="I19" s="3" t="s">
        <v>25</v>
      </c>
      <c r="J19" s="3" t="n">
        <v>295</v>
      </c>
      <c r="K19" s="3" t="s">
        <v>58</v>
      </c>
      <c r="L19" s="6" t="s">
        <v>27</v>
      </c>
      <c r="M19" s="3" t="s">
        <v>109</v>
      </c>
      <c r="N19" s="4" t="n">
        <v>46172</v>
      </c>
      <c r="O19" s="4"/>
      <c r="P19" s="3" t="n">
        <f aca="false">IF(N19="","",N19-B19)</f>
        <v>21</v>
      </c>
      <c r="Q19" s="3" t="s">
        <v>127</v>
      </c>
      <c r="R19" s="3"/>
      <c r="S19" s="5" t="s">
        <v>128</v>
      </c>
    </row>
    <row r="20" customFormat="false" ht="23.25" hidden="false" customHeight="true" outlineLevel="0" collapsed="false">
      <c r="A20" s="3" t="s">
        <v>129</v>
      </c>
      <c r="B20" s="4" t="n">
        <v>46151</v>
      </c>
      <c r="C20" s="3" t="s">
        <v>20</v>
      </c>
      <c r="D20" s="3" t="s">
        <v>130</v>
      </c>
      <c r="E20" s="3" t="s">
        <v>131</v>
      </c>
      <c r="F20" s="5" t="s">
        <v>132</v>
      </c>
      <c r="G20" s="5" t="s">
        <v>133</v>
      </c>
      <c r="H20" s="5"/>
      <c r="I20" s="3" t="s">
        <v>74</v>
      </c>
      <c r="J20" s="3" t="n">
        <v>87</v>
      </c>
      <c r="K20" s="3" t="s">
        <v>58</v>
      </c>
      <c r="L20" s="8" t="s">
        <v>96</v>
      </c>
      <c r="M20" s="3"/>
      <c r="N20" s="4"/>
      <c r="O20" s="4" t="n">
        <v>46160</v>
      </c>
      <c r="P20" s="3" t="str">
        <f aca="false">IF(N20="","",N20-B20)</f>
        <v/>
      </c>
      <c r="Q20" s="3" t="s">
        <v>127</v>
      </c>
      <c r="R20" s="3"/>
      <c r="S20" s="5" t="s">
        <v>134</v>
      </c>
    </row>
    <row r="21" customFormat="false" ht="23.25" hidden="false" customHeight="true" outlineLevel="0" collapsed="false">
      <c r="A21" s="3" t="s">
        <v>135</v>
      </c>
      <c r="B21" s="4" t="n">
        <v>46152</v>
      </c>
      <c r="C21" s="3" t="s">
        <v>79</v>
      </c>
      <c r="D21" s="3" t="s">
        <v>61</v>
      </c>
      <c r="E21" s="3" t="s">
        <v>92</v>
      </c>
      <c r="F21" s="5" t="s">
        <v>93</v>
      </c>
      <c r="G21" s="5" t="s">
        <v>94</v>
      </c>
      <c r="H21" s="5"/>
      <c r="I21" s="3" t="s">
        <v>95</v>
      </c>
      <c r="J21" s="3" t="n">
        <v>59</v>
      </c>
      <c r="K21" s="3" t="s">
        <v>58</v>
      </c>
      <c r="L21" s="6" t="s">
        <v>27</v>
      </c>
      <c r="M21" s="3" t="s">
        <v>118</v>
      </c>
      <c r="N21" s="4" t="n">
        <v>46191</v>
      </c>
      <c r="O21" s="4"/>
      <c r="P21" s="3" t="n">
        <f aca="false">IF(N21="","",N21-B21)</f>
        <v>39</v>
      </c>
      <c r="Q21" s="3" t="s">
        <v>97</v>
      </c>
      <c r="R21" s="3" t="s">
        <v>91</v>
      </c>
      <c r="S21" s="5" t="s">
        <v>98</v>
      </c>
    </row>
    <row r="22" customFormat="false" ht="23.25" hidden="false" customHeight="true" outlineLevel="0" collapsed="false">
      <c r="A22" s="3" t="s">
        <v>136</v>
      </c>
      <c r="B22" s="4" t="n">
        <v>46156</v>
      </c>
      <c r="C22" s="3" t="s">
        <v>20</v>
      </c>
      <c r="D22" s="3" t="s">
        <v>32</v>
      </c>
      <c r="E22" s="3" t="s">
        <v>137</v>
      </c>
      <c r="F22" s="5" t="s">
        <v>138</v>
      </c>
      <c r="G22" s="5" t="s">
        <v>139</v>
      </c>
      <c r="H22" s="5"/>
      <c r="I22" s="3" t="s">
        <v>74</v>
      </c>
      <c r="J22" s="3" t="n">
        <v>330</v>
      </c>
      <c r="K22" s="3" t="s">
        <v>66</v>
      </c>
      <c r="L22" s="6" t="s">
        <v>27</v>
      </c>
      <c r="M22" s="3" t="s">
        <v>109</v>
      </c>
      <c r="N22" s="4" t="n">
        <v>46172</v>
      </c>
      <c r="O22" s="4"/>
      <c r="P22" s="3" t="n">
        <f aca="false">IF(N22="","",N22-B22)</f>
        <v>16</v>
      </c>
      <c r="Q22" s="3" t="s">
        <v>37</v>
      </c>
      <c r="R22" s="3"/>
      <c r="S22" s="5" t="s">
        <v>140</v>
      </c>
    </row>
    <row r="23" customFormat="false" ht="23.25" hidden="false" customHeight="true" outlineLevel="0" collapsed="false">
      <c r="A23" s="3" t="s">
        <v>141</v>
      </c>
      <c r="B23" s="4" t="n">
        <v>46164</v>
      </c>
      <c r="C23" s="3" t="s">
        <v>85</v>
      </c>
      <c r="D23" s="3" t="s">
        <v>40</v>
      </c>
      <c r="E23" s="3" t="s">
        <v>41</v>
      </c>
      <c r="F23" s="5" t="s">
        <v>142</v>
      </c>
      <c r="G23" s="5" t="s">
        <v>143</v>
      </c>
      <c r="H23" s="5" t="s">
        <v>144</v>
      </c>
      <c r="I23" s="3" t="s">
        <v>25</v>
      </c>
      <c r="J23" s="3" t="n">
        <v>43</v>
      </c>
      <c r="K23" s="3" t="s">
        <v>66</v>
      </c>
      <c r="L23" s="6" t="s">
        <v>27</v>
      </c>
      <c r="M23" s="3" t="s">
        <v>118</v>
      </c>
      <c r="N23" s="4" t="n">
        <v>46191</v>
      </c>
      <c r="O23" s="4"/>
      <c r="P23" s="3" t="n">
        <f aca="false">IF(N23="","",N23-B23)</f>
        <v>27</v>
      </c>
      <c r="Q23" s="3" t="s">
        <v>29</v>
      </c>
      <c r="R23" s="3"/>
      <c r="S23" s="5" t="s">
        <v>145</v>
      </c>
    </row>
    <row r="24" customFormat="false" ht="34.5" hidden="false" customHeight="true" outlineLevel="0" collapsed="false">
      <c r="A24" s="3" t="s">
        <v>146</v>
      </c>
      <c r="B24" s="4" t="n">
        <v>46186</v>
      </c>
      <c r="C24" s="3" t="s">
        <v>20</v>
      </c>
      <c r="D24" s="3" t="s">
        <v>70</v>
      </c>
      <c r="E24" s="3" t="s">
        <v>71</v>
      </c>
      <c r="F24" s="5" t="s">
        <v>72</v>
      </c>
      <c r="G24" s="5" t="s">
        <v>73</v>
      </c>
      <c r="H24" s="5"/>
      <c r="I24" s="3" t="s">
        <v>74</v>
      </c>
      <c r="J24" s="3" t="n">
        <v>362</v>
      </c>
      <c r="K24" s="3" t="s">
        <v>109</v>
      </c>
      <c r="L24" s="6" t="s">
        <v>27</v>
      </c>
      <c r="M24" s="3" t="s">
        <v>147</v>
      </c>
      <c r="N24" s="4" t="n">
        <v>46213</v>
      </c>
      <c r="O24" s="4"/>
      <c r="P24" s="3" t="n">
        <f aca="false">IF(N24="","",N24-B24)</f>
        <v>27</v>
      </c>
      <c r="Q24" s="3" t="s">
        <v>76</v>
      </c>
      <c r="R24" s="3" t="s">
        <v>69</v>
      </c>
      <c r="S24" s="5" t="s">
        <v>77</v>
      </c>
    </row>
    <row r="25" customFormat="false" ht="34.5" hidden="false" customHeight="true" outlineLevel="0" collapsed="false">
      <c r="A25" s="3" t="s">
        <v>148</v>
      </c>
      <c r="B25" s="4" t="n">
        <v>46189</v>
      </c>
      <c r="C25" s="3" t="s">
        <v>20</v>
      </c>
      <c r="D25" s="3" t="s">
        <v>86</v>
      </c>
      <c r="E25" s="3" t="s">
        <v>100</v>
      </c>
      <c r="F25" s="5" t="s">
        <v>120</v>
      </c>
      <c r="G25" s="5" t="s">
        <v>121</v>
      </c>
      <c r="H25" s="5"/>
      <c r="I25" s="3" t="s">
        <v>25</v>
      </c>
      <c r="J25" s="3" t="n">
        <v>396</v>
      </c>
      <c r="K25" s="3" t="s">
        <v>109</v>
      </c>
      <c r="L25" s="6" t="s">
        <v>27</v>
      </c>
      <c r="M25" s="3" t="s">
        <v>149</v>
      </c>
      <c r="N25" s="4" t="n">
        <v>46232</v>
      </c>
      <c r="O25" s="4"/>
      <c r="P25" s="3" t="n">
        <f aca="false">IF(N25="","",N25-B25)</f>
        <v>43</v>
      </c>
      <c r="Q25" s="3" t="s">
        <v>55</v>
      </c>
      <c r="R25" s="3" t="s">
        <v>119</v>
      </c>
      <c r="S25" s="5" t="s">
        <v>122</v>
      </c>
    </row>
    <row r="26" customFormat="false" ht="15" hidden="false" customHeight="true" outlineLevel="0" collapsed="false">
      <c r="A26" s="3" t="s">
        <v>150</v>
      </c>
      <c r="B26" s="4" t="n">
        <v>46192</v>
      </c>
      <c r="C26" s="3" t="s">
        <v>20</v>
      </c>
      <c r="D26" s="3" t="s">
        <v>105</v>
      </c>
      <c r="E26" s="3" t="s">
        <v>151</v>
      </c>
      <c r="F26" s="5" t="s">
        <v>152</v>
      </c>
      <c r="G26" s="5" t="s">
        <v>153</v>
      </c>
      <c r="H26" s="5"/>
      <c r="I26" s="3" t="s">
        <v>53</v>
      </c>
      <c r="J26" s="3" t="n">
        <v>32</v>
      </c>
      <c r="K26" s="3" t="s">
        <v>118</v>
      </c>
      <c r="L26" s="8" t="s">
        <v>96</v>
      </c>
      <c r="M26" s="3"/>
      <c r="N26" s="4"/>
      <c r="O26" s="4" t="n">
        <v>46200</v>
      </c>
      <c r="P26" s="3" t="str">
        <f aca="false">IF(N26="","",N26-B26)</f>
        <v/>
      </c>
      <c r="Q26" s="3" t="s">
        <v>154</v>
      </c>
      <c r="R26" s="3"/>
      <c r="S26" s="5" t="s">
        <v>155</v>
      </c>
    </row>
    <row r="27" customFormat="false" ht="23.25" hidden="false" customHeight="true" outlineLevel="0" collapsed="false">
      <c r="A27" s="3" t="s">
        <v>156</v>
      </c>
      <c r="B27" s="4" t="n">
        <v>46193</v>
      </c>
      <c r="C27" s="3" t="s">
        <v>20</v>
      </c>
      <c r="D27" s="3" t="s">
        <v>157</v>
      </c>
      <c r="E27" s="3" t="s">
        <v>158</v>
      </c>
      <c r="F27" s="5" t="s">
        <v>159</v>
      </c>
      <c r="G27" s="5" t="s">
        <v>160</v>
      </c>
      <c r="H27" s="5"/>
      <c r="I27" s="3" t="s">
        <v>25</v>
      </c>
      <c r="J27" s="3" t="n">
        <v>388</v>
      </c>
      <c r="K27" s="3" t="s">
        <v>118</v>
      </c>
      <c r="L27" s="6" t="s">
        <v>27</v>
      </c>
      <c r="M27" s="3" t="s">
        <v>149</v>
      </c>
      <c r="N27" s="4" t="n">
        <v>46232</v>
      </c>
      <c r="O27" s="4"/>
      <c r="P27" s="3" t="n">
        <f aca="false">IF(N27="","",N27-B27)</f>
        <v>39</v>
      </c>
      <c r="Q27" s="3" t="s">
        <v>161</v>
      </c>
      <c r="R27" s="3"/>
      <c r="S27" s="5" t="s">
        <v>162</v>
      </c>
    </row>
    <row r="28" customFormat="false" ht="23.25" hidden="false" customHeight="true" outlineLevel="0" collapsed="false">
      <c r="A28" s="3" t="s">
        <v>163</v>
      </c>
      <c r="B28" s="4" t="n">
        <v>46210</v>
      </c>
      <c r="C28" s="3" t="s">
        <v>85</v>
      </c>
      <c r="D28" s="3" t="s">
        <v>40</v>
      </c>
      <c r="E28" s="3" t="s">
        <v>164</v>
      </c>
      <c r="F28" s="5" t="s">
        <v>165</v>
      </c>
      <c r="G28" s="5" t="s">
        <v>166</v>
      </c>
      <c r="H28" s="5" t="s">
        <v>167</v>
      </c>
      <c r="I28" s="3" t="s">
        <v>74</v>
      </c>
      <c r="J28" s="3" t="n">
        <v>115</v>
      </c>
      <c r="K28" s="3" t="s">
        <v>118</v>
      </c>
      <c r="L28" s="6" t="s">
        <v>27</v>
      </c>
      <c r="M28" s="3" t="s">
        <v>168</v>
      </c>
      <c r="N28" s="4" t="n">
        <v>46251</v>
      </c>
      <c r="O28" s="4"/>
      <c r="P28" s="3" t="n">
        <f aca="false">IF(N28="","",N28-B28)</f>
        <v>41</v>
      </c>
      <c r="Q28" s="3" t="s">
        <v>169</v>
      </c>
      <c r="R28" s="3"/>
      <c r="S28" s="5" t="s">
        <v>170</v>
      </c>
    </row>
    <row r="29" customFormat="false" ht="34.5" hidden="false" customHeight="true" outlineLevel="0" collapsed="false">
      <c r="A29" s="3" t="s">
        <v>171</v>
      </c>
      <c r="B29" s="4" t="n">
        <v>46210</v>
      </c>
      <c r="C29" s="3" t="s">
        <v>79</v>
      </c>
      <c r="D29" s="3" t="s">
        <v>61</v>
      </c>
      <c r="E29" s="3" t="s">
        <v>92</v>
      </c>
      <c r="F29" s="5" t="s">
        <v>93</v>
      </c>
      <c r="G29" s="5" t="s">
        <v>94</v>
      </c>
      <c r="H29" s="5"/>
      <c r="I29" s="3" t="s">
        <v>95</v>
      </c>
      <c r="J29" s="3" t="n">
        <v>75</v>
      </c>
      <c r="K29" s="3" t="s">
        <v>118</v>
      </c>
      <c r="L29" s="7" t="s">
        <v>46</v>
      </c>
      <c r="M29" s="3"/>
      <c r="N29" s="4"/>
      <c r="O29" s="4"/>
      <c r="P29" s="3" t="str">
        <f aca="false">IF(N29="","",N29-B29)</f>
        <v/>
      </c>
      <c r="Q29" s="3" t="s">
        <v>97</v>
      </c>
      <c r="R29" s="3" t="s">
        <v>135</v>
      </c>
      <c r="S29" s="5" t="s">
        <v>98</v>
      </c>
    </row>
    <row r="30" customFormat="false" ht="23.25" hidden="false" customHeight="true" outlineLevel="0" collapsed="false">
      <c r="A30" s="3" t="s">
        <v>172</v>
      </c>
      <c r="B30" s="4" t="n">
        <v>46211</v>
      </c>
      <c r="C30" s="3" t="s">
        <v>48</v>
      </c>
      <c r="D30" s="3" t="s">
        <v>86</v>
      </c>
      <c r="E30" s="3" t="s">
        <v>100</v>
      </c>
      <c r="F30" s="5" t="s">
        <v>101</v>
      </c>
      <c r="G30" s="5" t="s">
        <v>102</v>
      </c>
      <c r="H30" s="5" t="s">
        <v>117</v>
      </c>
      <c r="I30" s="3" t="s">
        <v>25</v>
      </c>
      <c r="J30" s="3" t="n">
        <v>35</v>
      </c>
      <c r="K30" s="3" t="s">
        <v>118</v>
      </c>
      <c r="L30" s="6" t="s">
        <v>27</v>
      </c>
      <c r="M30" s="3" t="s">
        <v>168</v>
      </c>
      <c r="N30" s="4" t="n">
        <v>46251</v>
      </c>
      <c r="O30" s="4"/>
      <c r="P30" s="3" t="n">
        <f aca="false">IF(N30="","",N30-B30)</f>
        <v>40</v>
      </c>
      <c r="Q30" s="3" t="s">
        <v>55</v>
      </c>
      <c r="R30" s="3" t="s">
        <v>116</v>
      </c>
      <c r="S30" s="5" t="s">
        <v>103</v>
      </c>
    </row>
    <row r="31" customFormat="false" ht="23.25" hidden="false" customHeight="true" outlineLevel="0" collapsed="false">
      <c r="A31" s="3" t="s">
        <v>173</v>
      </c>
      <c r="B31" s="4" t="n">
        <v>46212</v>
      </c>
      <c r="C31" s="3" t="s">
        <v>85</v>
      </c>
      <c r="D31" s="3" t="s">
        <v>21</v>
      </c>
      <c r="E31" s="3" t="s">
        <v>124</v>
      </c>
      <c r="F31" s="5" t="s">
        <v>125</v>
      </c>
      <c r="G31" s="5" t="s">
        <v>126</v>
      </c>
      <c r="H31" s="5"/>
      <c r="I31" s="3" t="s">
        <v>25</v>
      </c>
      <c r="J31" s="3" t="n">
        <v>100</v>
      </c>
      <c r="K31" s="3" t="s">
        <v>118</v>
      </c>
      <c r="L31" s="6" t="s">
        <v>27</v>
      </c>
      <c r="M31" s="3" t="s">
        <v>149</v>
      </c>
      <c r="N31" s="4" t="n">
        <v>46232</v>
      </c>
      <c r="O31" s="4"/>
      <c r="P31" s="3" t="n">
        <f aca="false">IF(N31="","",N31-B31)</f>
        <v>20</v>
      </c>
      <c r="Q31" s="3" t="s">
        <v>127</v>
      </c>
      <c r="R31" s="3" t="s">
        <v>123</v>
      </c>
      <c r="S31" s="5" t="s">
        <v>128</v>
      </c>
    </row>
    <row r="32" customFormat="false" ht="34.5" hidden="false" customHeight="true" outlineLevel="0" collapsed="false">
      <c r="A32" s="3" t="s">
        <v>174</v>
      </c>
      <c r="B32" s="4" t="n">
        <v>46214</v>
      </c>
      <c r="C32" s="3" t="s">
        <v>20</v>
      </c>
      <c r="D32" s="3" t="s">
        <v>32</v>
      </c>
      <c r="E32" s="3" t="s">
        <v>137</v>
      </c>
      <c r="F32" s="5" t="s">
        <v>138</v>
      </c>
      <c r="G32" s="5" t="s">
        <v>139</v>
      </c>
      <c r="H32" s="5"/>
      <c r="I32" s="3" t="s">
        <v>74</v>
      </c>
      <c r="J32" s="3" t="n">
        <v>393</v>
      </c>
      <c r="K32" s="3" t="s">
        <v>147</v>
      </c>
      <c r="L32" s="6" t="s">
        <v>27</v>
      </c>
      <c r="M32" s="3" t="s">
        <v>168</v>
      </c>
      <c r="N32" s="4" t="n">
        <v>46251</v>
      </c>
      <c r="O32" s="4"/>
      <c r="P32" s="3" t="n">
        <f aca="false">IF(N32="","",N32-B32)</f>
        <v>37</v>
      </c>
      <c r="Q32" s="3" t="s">
        <v>37</v>
      </c>
      <c r="R32" s="3" t="s">
        <v>136</v>
      </c>
      <c r="S32" s="5" t="s">
        <v>140</v>
      </c>
    </row>
    <row r="33" customFormat="false" ht="23.25" hidden="false" customHeight="true" outlineLevel="0" collapsed="false">
      <c r="A33" s="3" t="s">
        <v>175</v>
      </c>
      <c r="B33" s="4" t="n">
        <v>46214</v>
      </c>
      <c r="C33" s="3" t="s">
        <v>20</v>
      </c>
      <c r="D33" s="3" t="s">
        <v>105</v>
      </c>
      <c r="E33" s="3" t="s">
        <v>151</v>
      </c>
      <c r="F33" s="5" t="s">
        <v>152</v>
      </c>
      <c r="G33" s="5" t="s">
        <v>153</v>
      </c>
      <c r="H33" s="5"/>
      <c r="I33" s="3" t="s">
        <v>53</v>
      </c>
      <c r="J33" s="3" t="n">
        <v>55</v>
      </c>
      <c r="K33" s="3" t="s">
        <v>147</v>
      </c>
      <c r="L33" s="6" t="s">
        <v>27</v>
      </c>
      <c r="M33" s="3" t="s">
        <v>149</v>
      </c>
      <c r="N33" s="4" t="n">
        <v>46232</v>
      </c>
      <c r="O33" s="4"/>
      <c r="P33" s="3" t="n">
        <f aca="false">IF(N33="","",N33-B33)</f>
        <v>18</v>
      </c>
      <c r="Q33" s="3" t="s">
        <v>154</v>
      </c>
      <c r="R33" s="3" t="s">
        <v>150</v>
      </c>
      <c r="S33" s="5" t="s">
        <v>155</v>
      </c>
    </row>
    <row r="34" customFormat="false" ht="23.25" hidden="false" customHeight="true" outlineLevel="0" collapsed="false">
      <c r="A34" s="3" t="s">
        <v>176</v>
      </c>
      <c r="B34" s="4" t="n">
        <v>46214</v>
      </c>
      <c r="C34" s="3" t="s">
        <v>79</v>
      </c>
      <c r="D34" s="3" t="s">
        <v>177</v>
      </c>
      <c r="E34" s="3" t="s">
        <v>178</v>
      </c>
      <c r="F34" s="5" t="s">
        <v>179</v>
      </c>
      <c r="G34" s="5" t="s">
        <v>180</v>
      </c>
      <c r="H34" s="5"/>
      <c r="I34" s="3" t="s">
        <v>95</v>
      </c>
      <c r="J34" s="3" t="n">
        <v>63</v>
      </c>
      <c r="K34" s="3" t="s">
        <v>147</v>
      </c>
      <c r="L34" s="6" t="s">
        <v>27</v>
      </c>
      <c r="M34" s="3" t="s">
        <v>168</v>
      </c>
      <c r="N34" s="4" t="n">
        <v>46251</v>
      </c>
      <c r="O34" s="4"/>
      <c r="P34" s="3" t="n">
        <f aca="false">IF(N34="","",N34-B34)</f>
        <v>37</v>
      </c>
      <c r="Q34" s="3" t="s">
        <v>67</v>
      </c>
      <c r="R34" s="3"/>
      <c r="S34" s="5" t="s">
        <v>181</v>
      </c>
    </row>
    <row r="35" customFormat="false" ht="23.25" hidden="false" customHeight="true" outlineLevel="0" collapsed="false">
      <c r="A35" s="3" t="s">
        <v>182</v>
      </c>
      <c r="B35" s="4" t="n">
        <v>46221</v>
      </c>
      <c r="C35" s="3" t="s">
        <v>20</v>
      </c>
      <c r="D35" s="3" t="s">
        <v>49</v>
      </c>
      <c r="E35" s="3" t="s">
        <v>183</v>
      </c>
      <c r="F35" s="5" t="s">
        <v>184</v>
      </c>
      <c r="G35" s="5" t="s">
        <v>185</v>
      </c>
      <c r="H35" s="5"/>
      <c r="I35" s="3" t="s">
        <v>25</v>
      </c>
      <c r="J35" s="3" t="n">
        <v>340</v>
      </c>
      <c r="K35" s="3" t="s">
        <v>147</v>
      </c>
      <c r="L35" s="6" t="s">
        <v>27</v>
      </c>
      <c r="M35" s="3" t="s">
        <v>168</v>
      </c>
      <c r="N35" s="4" t="n">
        <v>46251</v>
      </c>
      <c r="O35" s="4"/>
      <c r="P35" s="3" t="n">
        <f aca="false">IF(N35="","",N35-B35)</f>
        <v>30</v>
      </c>
      <c r="Q35" s="3" t="s">
        <v>186</v>
      </c>
      <c r="R35" s="3"/>
      <c r="S35" s="5" t="s">
        <v>187</v>
      </c>
    </row>
    <row r="36" customFormat="false" ht="34.5" hidden="false" customHeight="true" outlineLevel="0" collapsed="false">
      <c r="A36" s="3" t="s">
        <v>188</v>
      </c>
      <c r="B36" s="4" t="n">
        <v>46227</v>
      </c>
      <c r="C36" s="3" t="s">
        <v>48</v>
      </c>
      <c r="D36" s="3" t="s">
        <v>70</v>
      </c>
      <c r="E36" s="3" t="s">
        <v>71</v>
      </c>
      <c r="F36" s="5" t="s">
        <v>72</v>
      </c>
      <c r="G36" s="5" t="s">
        <v>73</v>
      </c>
      <c r="H36" s="5"/>
      <c r="I36" s="3" t="s">
        <v>74</v>
      </c>
      <c r="J36" s="3" t="n">
        <v>376</v>
      </c>
      <c r="K36" s="3" t="s">
        <v>147</v>
      </c>
      <c r="L36" s="6" t="s">
        <v>27</v>
      </c>
      <c r="M36" s="3" t="s">
        <v>189</v>
      </c>
      <c r="N36" s="4" t="n">
        <v>46270</v>
      </c>
      <c r="O36" s="4"/>
      <c r="P36" s="3" t="n">
        <f aca="false">IF(N36="","",N36-B36)</f>
        <v>43</v>
      </c>
      <c r="Q36" s="3" t="s">
        <v>76</v>
      </c>
      <c r="R36" s="3" t="s">
        <v>146</v>
      </c>
      <c r="S36" s="5" t="s">
        <v>77</v>
      </c>
    </row>
    <row r="37" customFormat="false" ht="34.5" hidden="false" customHeight="true" outlineLevel="0" collapsed="false">
      <c r="A37" s="3" t="s">
        <v>190</v>
      </c>
      <c r="B37" s="4" t="n">
        <v>46236</v>
      </c>
      <c r="C37" s="3" t="s">
        <v>48</v>
      </c>
      <c r="D37" s="3" t="s">
        <v>40</v>
      </c>
      <c r="E37" s="3" t="s">
        <v>41</v>
      </c>
      <c r="F37" s="5" t="s">
        <v>142</v>
      </c>
      <c r="G37" s="5" t="s">
        <v>143</v>
      </c>
      <c r="H37" s="5" t="s">
        <v>144</v>
      </c>
      <c r="I37" s="3" t="s">
        <v>25</v>
      </c>
      <c r="J37" s="3" t="n">
        <v>188</v>
      </c>
      <c r="K37" s="3" t="s">
        <v>149</v>
      </c>
      <c r="L37" s="6" t="s">
        <v>27</v>
      </c>
      <c r="M37" s="3" t="s">
        <v>189</v>
      </c>
      <c r="N37" s="4" t="n">
        <v>46270</v>
      </c>
      <c r="O37" s="4"/>
      <c r="P37" s="3" t="n">
        <f aca="false">IF(N37="","",N37-B37)</f>
        <v>34</v>
      </c>
      <c r="Q37" s="3" t="s">
        <v>29</v>
      </c>
      <c r="R37" s="3" t="s">
        <v>141</v>
      </c>
      <c r="S37" s="5" t="s">
        <v>145</v>
      </c>
    </row>
    <row r="38" customFormat="false" ht="23.25" hidden="false" customHeight="true" outlineLevel="0" collapsed="false">
      <c r="A38" s="3" t="s">
        <v>191</v>
      </c>
      <c r="B38" s="4" t="n">
        <v>46253</v>
      </c>
      <c r="C38" s="3" t="s">
        <v>20</v>
      </c>
      <c r="D38" s="3" t="s">
        <v>105</v>
      </c>
      <c r="E38" s="3" t="s">
        <v>151</v>
      </c>
      <c r="F38" s="5" t="s">
        <v>152</v>
      </c>
      <c r="G38" s="5" t="s">
        <v>153</v>
      </c>
      <c r="H38" s="5"/>
      <c r="I38" s="3" t="s">
        <v>53</v>
      </c>
      <c r="J38" s="3" t="n">
        <v>57</v>
      </c>
      <c r="K38" s="3" t="s">
        <v>168</v>
      </c>
      <c r="L38" s="6" t="s">
        <v>27</v>
      </c>
      <c r="M38" s="3" t="s">
        <v>189</v>
      </c>
      <c r="N38" s="4" t="n">
        <v>46270</v>
      </c>
      <c r="O38" s="4"/>
      <c r="P38" s="3" t="n">
        <f aca="false">IF(N38="","",N38-B38)</f>
        <v>17</v>
      </c>
      <c r="Q38" s="3" t="s">
        <v>154</v>
      </c>
      <c r="R38" s="3" t="s">
        <v>175</v>
      </c>
      <c r="S38" s="5" t="s">
        <v>155</v>
      </c>
    </row>
    <row r="39" customFormat="false" ht="23.25" hidden="false" customHeight="true" outlineLevel="0" collapsed="false">
      <c r="A39" s="3" t="s">
        <v>192</v>
      </c>
      <c r="B39" s="4" t="n">
        <v>46270</v>
      </c>
      <c r="C39" s="3" t="s">
        <v>20</v>
      </c>
      <c r="D39" s="3" t="s">
        <v>177</v>
      </c>
      <c r="E39" s="3" t="s">
        <v>178</v>
      </c>
      <c r="F39" s="5" t="s">
        <v>179</v>
      </c>
      <c r="G39" s="5" t="s">
        <v>180</v>
      </c>
      <c r="H39" s="5"/>
      <c r="I39" s="3" t="s">
        <v>95</v>
      </c>
      <c r="J39" s="3" t="n">
        <v>75</v>
      </c>
      <c r="K39" s="3" t="s">
        <v>189</v>
      </c>
      <c r="L39" s="6" t="s">
        <v>27</v>
      </c>
      <c r="M39" s="3" t="s">
        <v>193</v>
      </c>
      <c r="N39" s="4" t="n">
        <v>46290</v>
      </c>
      <c r="O39" s="4"/>
      <c r="P39" s="3" t="n">
        <f aca="false">IF(N39="","",N39-B39)</f>
        <v>20</v>
      </c>
      <c r="Q39" s="3" t="s">
        <v>67</v>
      </c>
      <c r="R39" s="3" t="s">
        <v>176</v>
      </c>
      <c r="S39" s="5" t="s">
        <v>181</v>
      </c>
    </row>
    <row r="40" customFormat="false" ht="34.5" hidden="false" customHeight="true" outlineLevel="0" collapsed="false">
      <c r="A40" s="3" t="s">
        <v>194</v>
      </c>
      <c r="B40" s="4" t="n">
        <v>46271</v>
      </c>
      <c r="C40" s="3" t="s">
        <v>48</v>
      </c>
      <c r="D40" s="3" t="s">
        <v>32</v>
      </c>
      <c r="E40" s="3" t="s">
        <v>137</v>
      </c>
      <c r="F40" s="5" t="s">
        <v>138</v>
      </c>
      <c r="G40" s="5" t="s">
        <v>139</v>
      </c>
      <c r="H40" s="5"/>
      <c r="I40" s="3" t="s">
        <v>74</v>
      </c>
      <c r="J40" s="3" t="n">
        <v>3</v>
      </c>
      <c r="K40" s="3" t="s">
        <v>189</v>
      </c>
      <c r="L40" s="6" t="s">
        <v>27</v>
      </c>
      <c r="M40" s="3" t="s">
        <v>195</v>
      </c>
      <c r="N40" s="4" t="n">
        <v>46310</v>
      </c>
      <c r="O40" s="4"/>
      <c r="P40" s="3" t="n">
        <f aca="false">IF(N40="","",N40-B40)</f>
        <v>39</v>
      </c>
      <c r="Q40" s="3" t="s">
        <v>37</v>
      </c>
      <c r="R40" s="3" t="s">
        <v>174</v>
      </c>
      <c r="S40" s="5" t="s">
        <v>140</v>
      </c>
    </row>
    <row r="41" customFormat="false" ht="34.5" hidden="false" customHeight="true" outlineLevel="0" collapsed="false">
      <c r="A41" s="3" t="s">
        <v>196</v>
      </c>
      <c r="B41" s="4" t="n">
        <v>46289</v>
      </c>
      <c r="C41" s="3" t="s">
        <v>20</v>
      </c>
      <c r="D41" s="3" t="s">
        <v>40</v>
      </c>
      <c r="E41" s="3" t="s">
        <v>164</v>
      </c>
      <c r="F41" s="5" t="s">
        <v>165</v>
      </c>
      <c r="G41" s="5" t="s">
        <v>166</v>
      </c>
      <c r="H41" s="5"/>
      <c r="I41" s="3" t="s">
        <v>74</v>
      </c>
      <c r="J41" s="3" t="n">
        <v>360</v>
      </c>
      <c r="K41" s="3" t="s">
        <v>189</v>
      </c>
      <c r="L41" s="9" t="s">
        <v>197</v>
      </c>
      <c r="M41" s="3"/>
      <c r="N41" s="4"/>
      <c r="O41" s="4"/>
      <c r="P41" s="3" t="str">
        <f aca="false">IF(N41="","",N41-B41)</f>
        <v/>
      </c>
      <c r="Q41" s="3" t="s">
        <v>169</v>
      </c>
      <c r="R41" s="3" t="s">
        <v>163</v>
      </c>
      <c r="S41" s="5" t="s">
        <v>170</v>
      </c>
    </row>
    <row r="42" customFormat="false" ht="34.5" hidden="false" customHeight="true" outlineLevel="0" collapsed="false">
      <c r="A42" s="3" t="s">
        <v>198</v>
      </c>
      <c r="B42" s="4" t="n">
        <v>46291</v>
      </c>
      <c r="C42" s="3" t="s">
        <v>20</v>
      </c>
      <c r="D42" s="3" t="s">
        <v>49</v>
      </c>
      <c r="E42" s="3" t="s">
        <v>183</v>
      </c>
      <c r="F42" s="5" t="s">
        <v>184</v>
      </c>
      <c r="G42" s="5" t="s">
        <v>185</v>
      </c>
      <c r="H42" s="5"/>
      <c r="I42" s="3" t="s">
        <v>25</v>
      </c>
      <c r="J42" s="3" t="n">
        <v>279</v>
      </c>
      <c r="K42" s="3" t="s">
        <v>193</v>
      </c>
      <c r="L42" s="7" t="s">
        <v>46</v>
      </c>
      <c r="M42" s="3"/>
      <c r="N42" s="4"/>
      <c r="O42" s="4"/>
      <c r="P42" s="3" t="str">
        <f aca="false">IF(N42="","",N42-B42)</f>
        <v/>
      </c>
      <c r="Q42" s="3" t="s">
        <v>186</v>
      </c>
      <c r="R42" s="3" t="s">
        <v>182</v>
      </c>
      <c r="S42" s="5" t="s">
        <v>187</v>
      </c>
    </row>
    <row r="43" customFormat="false" ht="34.5" hidden="false" customHeight="true" outlineLevel="0" collapsed="false">
      <c r="A43" s="3" t="s">
        <v>199</v>
      </c>
      <c r="B43" s="4" t="n">
        <v>46292</v>
      </c>
      <c r="C43" s="3" t="s">
        <v>20</v>
      </c>
      <c r="D43" s="3" t="s">
        <v>40</v>
      </c>
      <c r="E43" s="3" t="s">
        <v>41</v>
      </c>
      <c r="F43" s="5" t="s">
        <v>142</v>
      </c>
      <c r="G43" s="5" t="s">
        <v>143</v>
      </c>
      <c r="H43" s="5"/>
      <c r="I43" s="3" t="s">
        <v>25</v>
      </c>
      <c r="J43" s="3" t="n">
        <v>43</v>
      </c>
      <c r="K43" s="3" t="s">
        <v>193</v>
      </c>
      <c r="L43" s="9" t="s">
        <v>197</v>
      </c>
      <c r="M43" s="3"/>
      <c r="N43" s="4"/>
      <c r="O43" s="4"/>
      <c r="P43" s="3" t="str">
        <f aca="false">IF(N43="","",N43-B43)</f>
        <v/>
      </c>
      <c r="Q43" s="3" t="s">
        <v>29</v>
      </c>
      <c r="R43" s="3" t="s">
        <v>190</v>
      </c>
      <c r="S43" s="5" t="s">
        <v>145</v>
      </c>
    </row>
    <row r="44" customFormat="false" ht="23.25" hidden="false" customHeight="true" outlineLevel="0" collapsed="false">
      <c r="A44" s="3" t="s">
        <v>200</v>
      </c>
      <c r="B44" s="4" t="n">
        <v>46313</v>
      </c>
      <c r="C44" s="3" t="s">
        <v>85</v>
      </c>
      <c r="D44" s="3" t="s">
        <v>49</v>
      </c>
      <c r="E44" s="3" t="s">
        <v>183</v>
      </c>
      <c r="F44" s="5" t="s">
        <v>184</v>
      </c>
      <c r="G44" s="5" t="s">
        <v>185</v>
      </c>
      <c r="H44" s="5"/>
      <c r="I44" s="3" t="s">
        <v>25</v>
      </c>
      <c r="J44" s="3" t="n">
        <v>267</v>
      </c>
      <c r="K44" s="3" t="s">
        <v>195</v>
      </c>
      <c r="L44" s="7" t="s">
        <v>46</v>
      </c>
      <c r="M44" s="3"/>
      <c r="N44" s="4"/>
      <c r="O44" s="4"/>
      <c r="P44" s="3" t="str">
        <f aca="false">IF(N44="","",N44-B44)</f>
        <v/>
      </c>
      <c r="Q44" s="3" t="s">
        <v>186</v>
      </c>
      <c r="R44" s="3" t="s">
        <v>198</v>
      </c>
      <c r="S44" s="5" t="s">
        <v>187</v>
      </c>
    </row>
    <row r="45" customFormat="false" ht="23.85" hidden="false" customHeight="false" outlineLevel="0" collapsed="false">
      <c r="A45" s="3" t="s">
        <v>201</v>
      </c>
      <c r="B45" s="4" t="n">
        <v>46318</v>
      </c>
      <c r="C45" s="3" t="s">
        <v>79</v>
      </c>
      <c r="D45" s="3" t="s">
        <v>40</v>
      </c>
      <c r="E45" s="3" t="s">
        <v>164</v>
      </c>
      <c r="F45" s="5" t="s">
        <v>202</v>
      </c>
      <c r="G45" s="5" t="s">
        <v>203</v>
      </c>
      <c r="H45" s="5"/>
      <c r="I45" s="3"/>
      <c r="J45" s="3" t="n">
        <v>48</v>
      </c>
      <c r="K45" s="3" t="s">
        <v>195</v>
      </c>
      <c r="L45" s="7" t="s">
        <v>197</v>
      </c>
      <c r="M45" s="3"/>
      <c r="N45" s="4"/>
      <c r="O45" s="4"/>
      <c r="P45" s="3" t="str">
        <f aca="false">IF(N45="","",N45-B45)</f>
        <v/>
      </c>
      <c r="Q45" s="3" t="s">
        <v>169</v>
      </c>
      <c r="R45" s="3"/>
      <c r="S45" s="5" t="s">
        <v>204</v>
      </c>
    </row>
    <row r="46" customFormat="false" ht="23.85" hidden="false" customHeight="false" outlineLevel="0" collapsed="false">
      <c r="A46" s="3" t="s">
        <v>205</v>
      </c>
      <c r="B46" s="4" t="n">
        <v>46318</v>
      </c>
      <c r="C46" s="3" t="s">
        <v>48</v>
      </c>
      <c r="D46" s="3" t="s">
        <v>40</v>
      </c>
      <c r="E46" s="3" t="s">
        <v>41</v>
      </c>
      <c r="F46" s="5" t="s">
        <v>206</v>
      </c>
      <c r="G46" s="5" t="s">
        <v>207</v>
      </c>
      <c r="H46" s="5"/>
      <c r="I46" s="3"/>
      <c r="J46" s="3" t="n">
        <v>22</v>
      </c>
      <c r="K46" s="3" t="s">
        <v>195</v>
      </c>
      <c r="L46" s="7" t="s">
        <v>197</v>
      </c>
      <c r="M46" s="3"/>
      <c r="N46" s="4"/>
      <c r="O46" s="4"/>
      <c r="P46" s="3" t="str">
        <f aca="false">IF(N46="","",N46-B46)</f>
        <v/>
      </c>
      <c r="Q46" s="3" t="s">
        <v>29</v>
      </c>
      <c r="R46" s="3"/>
      <c r="S46" s="5" t="s">
        <v>208</v>
      </c>
    </row>
    <row r="47" customFormat="false" ht="23.85" hidden="false" customHeight="false" outlineLevel="0" collapsed="false">
      <c r="A47" s="3" t="s">
        <v>209</v>
      </c>
      <c r="B47" s="4" t="n">
        <v>46318</v>
      </c>
      <c r="C47" s="3" t="s">
        <v>20</v>
      </c>
      <c r="D47" s="3" t="s">
        <v>105</v>
      </c>
      <c r="E47" s="3" t="s">
        <v>210</v>
      </c>
      <c r="F47" s="5" t="s">
        <v>211</v>
      </c>
      <c r="G47" s="5" t="s">
        <v>212</v>
      </c>
      <c r="H47" s="5"/>
      <c r="I47" s="3"/>
      <c r="J47" s="3" t="n">
        <v>6</v>
      </c>
      <c r="K47" s="3" t="s">
        <v>195</v>
      </c>
      <c r="L47" s="7" t="s">
        <v>197</v>
      </c>
      <c r="M47" s="3"/>
      <c r="N47" s="4"/>
      <c r="O47" s="4"/>
      <c r="P47" s="3" t="str">
        <f aca="false">IF(N47="","",N47-B47)</f>
        <v/>
      </c>
      <c r="Q47" s="3" t="s">
        <v>154</v>
      </c>
      <c r="R47" s="3"/>
      <c r="S47" s="5" t="s">
        <v>213</v>
      </c>
    </row>
  </sheetData>
  <autoFilter ref="A1:S47"/>
  <dataValidations count="2">
    <dataValidation allowBlank="true" errorStyle="stop" operator="between" showDropDown="false" showErrorMessage="false" showInputMessage="false" sqref="L2:L244" type="list">
      <formula1>"Rezolvat – fix livrat,În lucru,Nou,Închis – nu se reproduce"</formula1>
      <formula2>0</formula2>
    </dataValidation>
    <dataValidation allowBlank="true" errorStyle="stop" operator="between" showDropDown="false" showErrorMessage="false" showInputMessage="false" sqref="I2:I244" type="list">
      <formula1>"Critică,Mare,Medie,Mică"</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3"/>
    <col collapsed="false" customWidth="true" hidden="false" outlineLevel="0" max="3" min="3" style="1" width="18"/>
    <col collapsed="false" customWidth="true" hidden="false" outlineLevel="0" max="4" min="4" style="1" width="40"/>
    <col collapsed="false" customWidth="true" hidden="false" outlineLevel="0" max="5" min="5" style="1" width="10"/>
    <col collapsed="false" customWidth="true" hidden="false" outlineLevel="0" max="6" min="6" style="1" width="60"/>
  </cols>
  <sheetData>
    <row r="1" customFormat="false" ht="30" hidden="false" customHeight="true" outlineLevel="0" collapsed="false">
      <c r="A1" s="2" t="s">
        <v>214</v>
      </c>
      <c r="B1" s="2" t="s">
        <v>215</v>
      </c>
      <c r="C1" s="2" t="s">
        <v>216</v>
      </c>
      <c r="D1" s="2" t="s">
        <v>217</v>
      </c>
      <c r="E1" s="2" t="s">
        <v>218</v>
      </c>
      <c r="F1" s="2" t="s">
        <v>219</v>
      </c>
    </row>
    <row r="2" customFormat="false" ht="15" hidden="false" customHeight="true" outlineLevel="0" collapsed="false">
      <c r="A2" s="3" t="s">
        <v>26</v>
      </c>
      <c r="B2" s="4" t="n">
        <v>46034</v>
      </c>
      <c r="C2" s="3" t="s">
        <v>20</v>
      </c>
      <c r="D2" s="5"/>
      <c r="E2" s="3" t="n">
        <f aca="false">COUNTIF(Tichete!$M$2:$M$47,A2)</f>
        <v>0</v>
      </c>
      <c r="F2" s="5" t="s">
        <v>220</v>
      </c>
    </row>
    <row r="3" customFormat="false" ht="15" hidden="false" customHeight="true" outlineLevel="0" collapsed="false">
      <c r="A3" s="3" t="s">
        <v>28</v>
      </c>
      <c r="B3" s="4" t="n">
        <v>46053</v>
      </c>
      <c r="C3" s="3" t="s">
        <v>20</v>
      </c>
      <c r="D3" s="5" t="s">
        <v>19</v>
      </c>
      <c r="E3" s="3" t="n">
        <f aca="false">COUNTIF(Tichete!$M$2:$M$47,A3)</f>
        <v>1</v>
      </c>
      <c r="F3" s="5" t="s">
        <v>221</v>
      </c>
    </row>
    <row r="4" customFormat="false" ht="15" hidden="false" customHeight="true" outlineLevel="0" collapsed="false">
      <c r="A4" s="3" t="s">
        <v>54</v>
      </c>
      <c r="B4" s="4" t="n">
        <v>46072</v>
      </c>
      <c r="C4" s="3" t="s">
        <v>20</v>
      </c>
      <c r="D4" s="5"/>
      <c r="E4" s="3" t="n">
        <f aca="false">COUNTIF(Tichete!$M$2:$M$47,A4)</f>
        <v>0</v>
      </c>
      <c r="F4" s="5" t="s">
        <v>222</v>
      </c>
    </row>
    <row r="5" customFormat="false" ht="15" hidden="false" customHeight="true" outlineLevel="0" collapsed="false">
      <c r="A5" s="3" t="s">
        <v>36</v>
      </c>
      <c r="B5" s="4" t="n">
        <v>46093</v>
      </c>
      <c r="C5" s="3" t="s">
        <v>20</v>
      </c>
      <c r="D5" s="5" t="s">
        <v>223</v>
      </c>
      <c r="E5" s="3" t="n">
        <f aca="false">COUNTIF(Tichete!$M$2:$M$47,A5)</f>
        <v>3</v>
      </c>
      <c r="F5" s="5" t="s">
        <v>224</v>
      </c>
    </row>
    <row r="6" customFormat="false" ht="15" hidden="false" customHeight="true" outlineLevel="0" collapsed="false">
      <c r="A6" s="3" t="s">
        <v>75</v>
      </c>
      <c r="B6" s="4" t="n">
        <v>46113</v>
      </c>
      <c r="C6" s="3" t="s">
        <v>20</v>
      </c>
      <c r="D6" s="5"/>
      <c r="E6" s="3" t="n">
        <f aca="false">COUNTIF(Tichete!$M$2:$M$47,A6)</f>
        <v>0</v>
      </c>
      <c r="F6" s="5" t="s">
        <v>225</v>
      </c>
    </row>
    <row r="7" customFormat="false" ht="15" hidden="false" customHeight="true" outlineLevel="0" collapsed="false">
      <c r="A7" s="3" t="s">
        <v>58</v>
      </c>
      <c r="B7" s="4" t="n">
        <v>46133</v>
      </c>
      <c r="C7" s="3" t="s">
        <v>20</v>
      </c>
      <c r="D7" s="5" t="s">
        <v>57</v>
      </c>
      <c r="E7" s="3" t="n">
        <f aca="false">COUNTIF(Tichete!$M$2:$M$47,A7)</f>
        <v>1</v>
      </c>
      <c r="F7" s="5" t="s">
        <v>226</v>
      </c>
    </row>
    <row r="8" customFormat="false" ht="23.25" hidden="false" customHeight="true" outlineLevel="0" collapsed="false">
      <c r="A8" s="3" t="s">
        <v>66</v>
      </c>
      <c r="B8" s="4" t="n">
        <v>46153</v>
      </c>
      <c r="C8" s="3" t="s">
        <v>20</v>
      </c>
      <c r="D8" s="5" t="s">
        <v>227</v>
      </c>
      <c r="E8" s="3" t="n">
        <f aca="false">COUNTIF(Tichete!$M$2:$M$47,A8)</f>
        <v>5</v>
      </c>
      <c r="F8" s="5" t="s">
        <v>228</v>
      </c>
    </row>
    <row r="9" customFormat="false" ht="15" hidden="false" customHeight="true" outlineLevel="0" collapsed="false">
      <c r="A9" s="3" t="s">
        <v>109</v>
      </c>
      <c r="B9" s="4" t="n">
        <v>46172</v>
      </c>
      <c r="C9" s="3" t="s">
        <v>20</v>
      </c>
      <c r="D9" s="5" t="s">
        <v>229</v>
      </c>
      <c r="E9" s="3" t="n">
        <f aca="false">COUNTIF(Tichete!$M$2:$M$47,A9)</f>
        <v>4</v>
      </c>
      <c r="F9" s="5" t="s">
        <v>230</v>
      </c>
    </row>
    <row r="10" customFormat="false" ht="15" hidden="false" customHeight="true" outlineLevel="0" collapsed="false">
      <c r="A10" s="3" t="s">
        <v>118</v>
      </c>
      <c r="B10" s="4" t="n">
        <v>46191</v>
      </c>
      <c r="C10" s="3" t="s">
        <v>20</v>
      </c>
      <c r="D10" s="5" t="s">
        <v>231</v>
      </c>
      <c r="E10" s="3" t="n">
        <f aca="false">COUNTIF(Tichete!$M$2:$M$47,A10)</f>
        <v>3</v>
      </c>
      <c r="F10" s="5" t="s">
        <v>232</v>
      </c>
    </row>
    <row r="11" customFormat="false" ht="15" hidden="false" customHeight="true" outlineLevel="0" collapsed="false">
      <c r="A11" s="3" t="s">
        <v>147</v>
      </c>
      <c r="B11" s="4" t="n">
        <v>46213</v>
      </c>
      <c r="C11" s="3" t="s">
        <v>20</v>
      </c>
      <c r="D11" s="5" t="s">
        <v>146</v>
      </c>
      <c r="E11" s="3" t="n">
        <f aca="false">COUNTIF(Tichete!$M$2:$M$47,A11)</f>
        <v>1</v>
      </c>
      <c r="F11" s="5" t="s">
        <v>233</v>
      </c>
    </row>
    <row r="12" customFormat="false" ht="15" hidden="false" customHeight="true" outlineLevel="0" collapsed="false">
      <c r="A12" s="3" t="s">
        <v>149</v>
      </c>
      <c r="B12" s="4" t="n">
        <v>46232</v>
      </c>
      <c r="C12" s="3" t="s">
        <v>20</v>
      </c>
      <c r="D12" s="5" t="s">
        <v>234</v>
      </c>
      <c r="E12" s="3" t="n">
        <f aca="false">COUNTIF(Tichete!$M$2:$M$47,A12)</f>
        <v>4</v>
      </c>
      <c r="F12" s="5" t="s">
        <v>235</v>
      </c>
    </row>
    <row r="13" customFormat="false" ht="23.25" hidden="false" customHeight="true" outlineLevel="0" collapsed="false">
      <c r="A13" s="3" t="s">
        <v>168</v>
      </c>
      <c r="B13" s="4" t="n">
        <v>46251</v>
      </c>
      <c r="C13" s="3" t="s">
        <v>20</v>
      </c>
      <c r="D13" s="5" t="s">
        <v>236</v>
      </c>
      <c r="E13" s="3" t="n">
        <f aca="false">COUNTIF(Tichete!$M$2:$M$47,A13)</f>
        <v>5</v>
      </c>
      <c r="F13" s="5" t="s">
        <v>237</v>
      </c>
    </row>
    <row r="14" customFormat="false" ht="15" hidden="false" customHeight="true" outlineLevel="0" collapsed="false">
      <c r="A14" s="3" t="s">
        <v>189</v>
      </c>
      <c r="B14" s="4" t="n">
        <v>46270</v>
      </c>
      <c r="C14" s="3" t="s">
        <v>20</v>
      </c>
      <c r="D14" s="5" t="s">
        <v>238</v>
      </c>
      <c r="E14" s="3" t="n">
        <f aca="false">COUNTIF(Tichete!$M$2:$M$47,A14)</f>
        <v>3</v>
      </c>
      <c r="F14" s="5" t="s">
        <v>239</v>
      </c>
    </row>
    <row r="15" customFormat="false" ht="15" hidden="false" customHeight="true" outlineLevel="0" collapsed="false">
      <c r="A15" s="3" t="s">
        <v>193</v>
      </c>
      <c r="B15" s="4" t="n">
        <v>46290</v>
      </c>
      <c r="C15" s="3" t="s">
        <v>20</v>
      </c>
      <c r="D15" s="5" t="s">
        <v>192</v>
      </c>
      <c r="E15" s="3" t="n">
        <f aca="false">COUNTIF(Tichete!$M$2:$M$47,A15)</f>
        <v>1</v>
      </c>
      <c r="F15" s="5" t="s">
        <v>240</v>
      </c>
    </row>
    <row r="16" customFormat="false" ht="15" hidden="false" customHeight="true" outlineLevel="0" collapsed="false">
      <c r="A16" s="3" t="s">
        <v>195</v>
      </c>
      <c r="B16" s="4" t="n">
        <v>46310</v>
      </c>
      <c r="C16" s="3" t="s">
        <v>20</v>
      </c>
      <c r="D16" s="5" t="s">
        <v>194</v>
      </c>
      <c r="E16" s="3" t="n">
        <f aca="false">COUNTIF(Tichete!$M$2:$M$47,A16)</f>
        <v>1</v>
      </c>
      <c r="F16" s="5" t="s">
        <v>241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5" min="2" style="1" width="16"/>
  </cols>
  <sheetData>
    <row r="1" customFormat="false" ht="17.25" hidden="false" customHeight="true" outlineLevel="0" collapsed="false">
      <c r="A1" s="10" t="s">
        <v>242</v>
      </c>
    </row>
    <row r="3" customFormat="false" ht="15" hidden="false" customHeight="true" outlineLevel="0" collapsed="false">
      <c r="A3" s="11" t="s">
        <v>243</v>
      </c>
      <c r="B3" s="11" t="n">
        <f aca="false">COUNTA(Tichete!$A$2:$A$47)</f>
        <v>46</v>
      </c>
    </row>
    <row r="4" customFormat="false" ht="15" hidden="false" customHeight="true" outlineLevel="0" collapsed="false">
      <c r="A4" s="12" t="s">
        <v>27</v>
      </c>
      <c r="B4" s="12" t="n">
        <f aca="false">COUNTIF(Tichete!$L$2:$L$47,A4)</f>
        <v>32</v>
      </c>
    </row>
    <row r="5" customFormat="false" ht="15" hidden="false" customHeight="true" outlineLevel="0" collapsed="false">
      <c r="A5" s="12" t="s">
        <v>46</v>
      </c>
      <c r="B5" s="12" t="n">
        <f aca="false">COUNTIF(Tichete!$L$2:$L$47,A5)</f>
        <v>5</v>
      </c>
    </row>
    <row r="6" customFormat="false" ht="15" hidden="false" customHeight="true" outlineLevel="0" collapsed="false">
      <c r="A6" s="12" t="s">
        <v>197</v>
      </c>
      <c r="B6" s="12" t="n">
        <f aca="false">COUNTIF(Tichete!$L$2:$L$47,A6)</f>
        <v>5</v>
      </c>
    </row>
    <row r="7" customFormat="false" ht="15" hidden="false" customHeight="true" outlineLevel="0" collapsed="false">
      <c r="A7" s="12" t="s">
        <v>96</v>
      </c>
      <c r="B7" s="12" t="n">
        <f aca="false">COUNTIF(Tichete!$L$2:$L$47,A7)</f>
        <v>4</v>
      </c>
    </row>
    <row r="9" customFormat="false" ht="15" hidden="false" customHeight="true" outlineLevel="0" collapsed="false">
      <c r="A9" s="11" t="s">
        <v>244</v>
      </c>
      <c r="B9" s="11" t="n">
        <f aca="false">COUNTIF(Tichete!$R$2:$R$47,"&lt;&gt;")</f>
        <v>21</v>
      </c>
    </row>
    <row r="10" customFormat="false" ht="15" hidden="false" customHeight="true" outlineLevel="0" collapsed="false">
      <c r="A10" s="11" t="s">
        <v>245</v>
      </c>
      <c r="B10" s="13" t="n">
        <f aca="false">IF(B4=0,0,B9/B4)</f>
        <v>0.65625</v>
      </c>
      <c r="C10" s="14" t="s">
        <v>246</v>
      </c>
    </row>
    <row r="11" customFormat="false" ht="15" hidden="false" customHeight="true" outlineLevel="0" collapsed="false">
      <c r="A11" s="12" t="s">
        <v>247</v>
      </c>
      <c r="B11" s="15" t="n">
        <f aca="false">IFERROR(AVERAGE(Tichete!$P$2:$P$47),0)</f>
        <v>30.15625</v>
      </c>
    </row>
    <row r="13" customFormat="false" ht="15" hidden="false" customHeight="true" outlineLevel="0" collapsed="false">
      <c r="A13" s="16" t="s">
        <v>3</v>
      </c>
      <c r="B13" s="16" t="s">
        <v>248</v>
      </c>
      <c r="C13" s="16" t="s">
        <v>249</v>
      </c>
      <c r="D13" s="16" t="s">
        <v>244</v>
      </c>
      <c r="E13" s="16" t="s">
        <v>250</v>
      </c>
    </row>
    <row r="14" customFormat="false" ht="15" hidden="false" customHeight="true" outlineLevel="0" collapsed="false">
      <c r="A14" s="12" t="s">
        <v>177</v>
      </c>
      <c r="B14" s="12" t="n">
        <f aca="false">COUNTIF(Tichete!$D$2:$D$47,A14)</f>
        <v>2</v>
      </c>
      <c r="C14" s="12" t="n">
        <f aca="false">COUNTIFS(Tichete!$D$2:$D$47,A14,Tichete!$L$2:$L$47,"Rezolvat – fix livrat")</f>
        <v>2</v>
      </c>
      <c r="D14" s="12" t="n">
        <f aca="false">COUNTIFS(Tichete!$D$2:$D$47,A14,Tichete!$R$2:$R$47,"&lt;&gt;")</f>
        <v>1</v>
      </c>
      <c r="E14" s="12" t="n">
        <f aca="false">SUMIF(Tichete!$D$2:$D$47,A14,Tichete!$J$2:$J$47)</f>
        <v>138</v>
      </c>
    </row>
    <row r="15" customFormat="false" ht="15" hidden="false" customHeight="true" outlineLevel="0" collapsed="false">
      <c r="A15" s="12" t="s">
        <v>105</v>
      </c>
      <c r="B15" s="12" t="n">
        <f aca="false">COUNTIF(Tichete!$D$2:$D$47,A15)</f>
        <v>5</v>
      </c>
      <c r="C15" s="12" t="n">
        <f aca="false">COUNTIFS(Tichete!$D$2:$D$47,A15,Tichete!$L$2:$L$47,"Rezolvat – fix livrat")</f>
        <v>3</v>
      </c>
      <c r="D15" s="12" t="n">
        <f aca="false">COUNTIFS(Tichete!$D$2:$D$47,A15,Tichete!$R$2:$R$47,"&lt;&gt;")</f>
        <v>2</v>
      </c>
      <c r="E15" s="12" t="n">
        <f aca="false">SUMIF(Tichete!$D$2:$D$47,A15,Tichete!$J$2:$J$47)</f>
        <v>526</v>
      </c>
    </row>
    <row r="16" customFormat="false" ht="15" hidden="false" customHeight="true" outlineLevel="0" collapsed="false">
      <c r="A16" s="12" t="s">
        <v>130</v>
      </c>
      <c r="B16" s="12" t="n">
        <f aca="false">COUNTIF(Tichete!$D$2:$D$47,A16)</f>
        <v>1</v>
      </c>
      <c r="C16" s="12" t="n">
        <f aca="false">COUNTIFS(Tichete!$D$2:$D$47,A16,Tichete!$L$2:$L$47,"Rezolvat – fix livrat")</f>
        <v>0</v>
      </c>
      <c r="D16" s="12" t="n">
        <f aca="false">COUNTIFS(Tichete!$D$2:$D$47,A16,Tichete!$R$2:$R$47,"&lt;&gt;")</f>
        <v>0</v>
      </c>
      <c r="E16" s="12" t="n">
        <f aca="false">SUMIF(Tichete!$D$2:$D$47,A16,Tichete!$J$2:$J$47)</f>
        <v>87</v>
      </c>
    </row>
    <row r="17" customFormat="false" ht="15" hidden="false" customHeight="true" outlineLevel="0" collapsed="false">
      <c r="A17" s="12" t="s">
        <v>61</v>
      </c>
      <c r="B17" s="12" t="n">
        <f aca="false">COUNTIF(Tichete!$D$2:$D$47,A17)</f>
        <v>4</v>
      </c>
      <c r="C17" s="12" t="n">
        <f aca="false">COUNTIFS(Tichete!$D$2:$D$47,A17,Tichete!$L$2:$L$47,"Rezolvat – fix livrat")</f>
        <v>2</v>
      </c>
      <c r="D17" s="12" t="n">
        <f aca="false">COUNTIFS(Tichete!$D$2:$D$47,A17,Tichete!$R$2:$R$47,"&lt;&gt;")</f>
        <v>2</v>
      </c>
      <c r="E17" s="12" t="n">
        <f aca="false">SUMIF(Tichete!$D$2:$D$47,A17,Tichete!$J$2:$J$47)</f>
        <v>205</v>
      </c>
    </row>
    <row r="18" customFormat="false" ht="15" hidden="false" customHeight="true" outlineLevel="0" collapsed="false">
      <c r="A18" s="12" t="s">
        <v>40</v>
      </c>
      <c r="B18" s="12" t="n">
        <f aca="false">COUNTIF(Tichete!$D$2:$D$47,A18)</f>
        <v>9</v>
      </c>
      <c r="C18" s="12" t="n">
        <f aca="false">COUNTIFS(Tichete!$D$2:$D$47,A18,Tichete!$L$2:$L$47,"Rezolvat – fix livrat")</f>
        <v>4</v>
      </c>
      <c r="D18" s="12" t="n">
        <f aca="false">COUNTIFS(Tichete!$D$2:$D$47,A18,Tichete!$R$2:$R$47,"&lt;&gt;")</f>
        <v>4</v>
      </c>
      <c r="E18" s="12" t="n">
        <f aca="false">SUMIF(Tichete!$D$2:$D$47,A18,Tichete!$J$2:$J$47)</f>
        <v>1012</v>
      </c>
    </row>
    <row r="19" customFormat="false" ht="15" hidden="false" customHeight="true" outlineLevel="0" collapsed="false">
      <c r="A19" s="12" t="s">
        <v>49</v>
      </c>
      <c r="B19" s="12" t="n">
        <f aca="false">COUNTIF(Tichete!$D$2:$D$47,A19)</f>
        <v>4</v>
      </c>
      <c r="C19" s="12" t="n">
        <f aca="false">COUNTIFS(Tichete!$D$2:$D$47,A19,Tichete!$L$2:$L$47,"Rezolvat – fix livrat")</f>
        <v>2</v>
      </c>
      <c r="D19" s="12" t="n">
        <f aca="false">COUNTIFS(Tichete!$D$2:$D$47,A19,Tichete!$R$2:$R$47,"&lt;&gt;")</f>
        <v>2</v>
      </c>
      <c r="E19" s="12" t="n">
        <f aca="false">SUMIF(Tichete!$D$2:$D$47,A19,Tichete!$J$2:$J$47)</f>
        <v>957</v>
      </c>
    </row>
    <row r="20" customFormat="false" ht="15" hidden="false" customHeight="true" outlineLevel="0" collapsed="false">
      <c r="A20" s="12" t="s">
        <v>21</v>
      </c>
      <c r="B20" s="12" t="n">
        <f aca="false">COUNTIF(Tichete!$D$2:$D$47,A20)</f>
        <v>4</v>
      </c>
      <c r="C20" s="12" t="n">
        <f aca="false">COUNTIFS(Tichete!$D$2:$D$47,A20,Tichete!$L$2:$L$47,"Rezolvat – fix livrat")</f>
        <v>3</v>
      </c>
      <c r="D20" s="12" t="n">
        <f aca="false">COUNTIFS(Tichete!$D$2:$D$47,A20,Tichete!$R$2:$R$47,"&lt;&gt;")</f>
        <v>2</v>
      </c>
      <c r="E20" s="12" t="n">
        <f aca="false">SUMIF(Tichete!$D$2:$D$47,A20,Tichete!$J$2:$J$47)</f>
        <v>781</v>
      </c>
    </row>
    <row r="21" customFormat="false" ht="15" hidden="false" customHeight="true" outlineLevel="0" collapsed="false">
      <c r="A21" s="12" t="s">
        <v>70</v>
      </c>
      <c r="B21" s="12" t="n">
        <f aca="false">COUNTIF(Tichete!$D$2:$D$47,A21)</f>
        <v>4</v>
      </c>
      <c r="C21" s="12" t="n">
        <f aca="false">COUNTIFS(Tichete!$D$2:$D$47,A21,Tichete!$L$2:$L$47,"Rezolvat – fix livrat")</f>
        <v>4</v>
      </c>
      <c r="D21" s="12" t="n">
        <f aca="false">COUNTIFS(Tichete!$D$2:$D$47,A21,Tichete!$R$2:$R$47,"&lt;&gt;")</f>
        <v>2</v>
      </c>
      <c r="E21" s="12" t="n">
        <f aca="false">SUMIF(Tichete!$D$2:$D$47,A21,Tichete!$J$2:$J$47)</f>
        <v>913</v>
      </c>
    </row>
    <row r="22" customFormat="false" ht="15" hidden="false" customHeight="true" outlineLevel="0" collapsed="false">
      <c r="A22" s="12" t="s">
        <v>32</v>
      </c>
      <c r="B22" s="12" t="n">
        <f aca="false">COUNTIF(Tichete!$D$2:$D$47,A22)</f>
        <v>5</v>
      </c>
      <c r="C22" s="12" t="n">
        <f aca="false">COUNTIFS(Tichete!$D$2:$D$47,A22,Tichete!$L$2:$L$47,"Rezolvat – fix livrat")</f>
        <v>5</v>
      </c>
      <c r="D22" s="12" t="n">
        <f aca="false">COUNTIFS(Tichete!$D$2:$D$47,A22,Tichete!$R$2:$R$47,"&lt;&gt;")</f>
        <v>3</v>
      </c>
      <c r="E22" s="12" t="n">
        <f aca="false">SUMIF(Tichete!$D$2:$D$47,A22,Tichete!$J$2:$J$47)</f>
        <v>897</v>
      </c>
    </row>
    <row r="23" customFormat="false" ht="15" hidden="false" customHeight="true" outlineLevel="0" collapsed="false">
      <c r="A23" s="12" t="s">
        <v>86</v>
      </c>
      <c r="B23" s="12" t="n">
        <f aca="false">COUNTIF(Tichete!$D$2:$D$47,A23)</f>
        <v>7</v>
      </c>
      <c r="C23" s="12" t="n">
        <f aca="false">COUNTIFS(Tichete!$D$2:$D$47,A23,Tichete!$L$2:$L$47,"Rezolvat – fix livrat")</f>
        <v>6</v>
      </c>
      <c r="D23" s="12" t="n">
        <f aca="false">COUNTIFS(Tichete!$D$2:$D$47,A23,Tichete!$R$2:$R$47,"&lt;&gt;")</f>
        <v>3</v>
      </c>
      <c r="E23" s="12" t="n">
        <f aca="false">SUMIF(Tichete!$D$2:$D$47,A23,Tichete!$J$2:$J$47)</f>
        <v>958</v>
      </c>
    </row>
    <row r="24" customFormat="false" ht="15" hidden="false" customHeight="true" outlineLevel="0" collapsed="false">
      <c r="A24" s="12" t="s">
        <v>157</v>
      </c>
      <c r="B24" s="12" t="n">
        <f aca="false">COUNTIF(Tichete!$D$2:$D$47,A24)</f>
        <v>1</v>
      </c>
      <c r="C24" s="12" t="n">
        <f aca="false">COUNTIFS(Tichete!$D$2:$D$47,A24,Tichete!$L$2:$L$47,"Rezolvat – fix livrat")</f>
        <v>1</v>
      </c>
      <c r="D24" s="12" t="n">
        <f aca="false">COUNTIFS(Tichete!$D$2:$D$47,A24,Tichete!$R$2:$R$47,"&lt;&gt;")</f>
        <v>0</v>
      </c>
      <c r="E24" s="12" t="n">
        <f aca="false">SUMIF(Tichete!$D$2:$D$47,A24,Tichete!$J$2:$J$47)</f>
        <v>388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00"/>
  </cols>
  <sheetData>
    <row r="1" customFormat="false" ht="23.25" hidden="false" customHeight="true" outlineLevel="0" collapsed="false">
      <c r="A1" s="17" t="s">
        <v>251</v>
      </c>
      <c r="B1" s="18" t="s">
        <v>252</v>
      </c>
    </row>
    <row r="2" customFormat="false" ht="23.25" hidden="false" customHeight="true" outlineLevel="0" collapsed="false">
      <c r="A2" s="17" t="s">
        <v>253</v>
      </c>
      <c r="B2" s="18" t="s">
        <v>254</v>
      </c>
    </row>
    <row r="3" customFormat="false" ht="23.25" hidden="false" customHeight="true" outlineLevel="0" collapsed="false">
      <c r="A3" s="17" t="s">
        <v>255</v>
      </c>
      <c r="B3" s="18" t="s">
        <v>256</v>
      </c>
    </row>
    <row r="4" customFormat="false" ht="15" hidden="false" customHeight="true" outlineLevel="0" collapsed="false">
      <c r="A4" s="17" t="s">
        <v>257</v>
      </c>
      <c r="B4" s="18" t="s">
        <v>258</v>
      </c>
    </row>
    <row r="5" customFormat="false" ht="15" hidden="false" customHeight="true" outlineLevel="0" collapsed="false">
      <c r="A5" s="17" t="s">
        <v>259</v>
      </c>
      <c r="B5" s="18" t="s">
        <v>260</v>
      </c>
    </row>
    <row r="6" customFormat="false" ht="23.25" hidden="false" customHeight="true" outlineLevel="0" collapsed="false">
      <c r="A6" s="17" t="s">
        <v>261</v>
      </c>
      <c r="B6" s="18" t="s">
        <v>262</v>
      </c>
    </row>
    <row r="7" customFormat="false" ht="15" hidden="false" customHeight="true" outlineLevel="0" collapsed="false">
      <c r="A7" s="17" t="s">
        <v>263</v>
      </c>
      <c r="B7" s="18" t="s">
        <v>264</v>
      </c>
    </row>
    <row r="8" customFormat="false" ht="34.5" hidden="false" customHeight="true" outlineLevel="0" collapsed="false">
      <c r="A8" s="17" t="s">
        <v>7</v>
      </c>
      <c r="B8" s="18" t="s">
        <v>265</v>
      </c>
    </row>
    <row r="9" customFormat="false" ht="23.25" hidden="false" customHeight="true" outlineLevel="0" collapsed="false">
      <c r="A9" s="17" t="s">
        <v>8</v>
      </c>
      <c r="B9" s="18" t="s">
        <v>266</v>
      </c>
    </row>
    <row r="10" customFormat="false" ht="23.25" hidden="false" customHeight="true" outlineLevel="0" collapsed="false">
      <c r="A10" s="17" t="s">
        <v>267</v>
      </c>
      <c r="B10" s="18" t="s">
        <v>268</v>
      </c>
    </row>
    <row r="11" customFormat="false" ht="23.25" hidden="false" customHeight="true" outlineLevel="0" collapsed="false">
      <c r="A11" s="17" t="s">
        <v>269</v>
      </c>
      <c r="B11" s="18" t="s">
        <v>270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4"/>
    <col collapsed="false" customWidth="true" hidden="false" outlineLevel="0" max="3" min="3" style="1" width="40"/>
    <col collapsed="false" customWidth="true" hidden="false" outlineLevel="0" max="4" min="4" style="1" width="70"/>
  </cols>
  <sheetData>
    <row r="1" customFormat="false" ht="15" hidden="false" customHeight="true" outlineLevel="0" collapsed="false">
      <c r="A1" s="2" t="s">
        <v>271</v>
      </c>
      <c r="B1" s="2" t="s">
        <v>272</v>
      </c>
      <c r="C1" s="2" t="s">
        <v>273</v>
      </c>
      <c r="D1" s="2" t="s">
        <v>274</v>
      </c>
    </row>
    <row r="2" customFormat="false" ht="15" hidden="false" customHeight="true" outlineLevel="0" collapsed="false">
      <c r="A2" s="12" t="s">
        <v>86</v>
      </c>
      <c r="B2" s="12" t="s">
        <v>275</v>
      </c>
      <c r="C2" s="12" t="s">
        <v>276</v>
      </c>
      <c r="D2" s="12" t="s">
        <v>277</v>
      </c>
    </row>
    <row r="3" customFormat="false" ht="15" hidden="false" customHeight="true" outlineLevel="0" collapsed="false">
      <c r="A3" s="12" t="s">
        <v>86</v>
      </c>
      <c r="B3" s="12" t="s">
        <v>278</v>
      </c>
      <c r="C3" s="12" t="s">
        <v>279</v>
      </c>
      <c r="D3" s="12" t="s">
        <v>280</v>
      </c>
    </row>
    <row r="4" customFormat="false" ht="15" hidden="false" customHeight="true" outlineLevel="0" collapsed="false">
      <c r="A4" s="12" t="s">
        <v>281</v>
      </c>
      <c r="B4" s="12" t="s">
        <v>282</v>
      </c>
      <c r="C4" s="12" t="s">
        <v>283</v>
      </c>
      <c r="D4" s="12" t="s">
        <v>284</v>
      </c>
    </row>
    <row r="5" customFormat="false" ht="15" hidden="false" customHeight="true" outlineLevel="0" collapsed="false">
      <c r="A5" s="12" t="s">
        <v>214</v>
      </c>
      <c r="B5" s="12" t="s">
        <v>285</v>
      </c>
      <c r="C5" s="12" t="s">
        <v>286</v>
      </c>
      <c r="D5" s="12" t="s">
        <v>287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2026-10-24T11:38:52Z</dcterms:created>
  <dc:creator>openpyxl</dc:creator>
  <dc:description/>
  <dc:language>en-US</dc:language>
  <cp:lastModifiedBy/>
  <dcterms:modified xsi:type="dcterms:W3CDTF">2026-10-24T14:49:34Z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